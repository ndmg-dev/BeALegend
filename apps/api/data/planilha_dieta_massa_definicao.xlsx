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Base alimentos" sheetId="2" state="visible" r:id="rId2"/>
    <sheet xmlns:r="http://schemas.openxmlformats.org/officeDocument/2006/relationships" name="Plano diário" sheetId="3" state="visible" r:id="rId3"/>
    <sheet xmlns:r="http://schemas.openxmlformats.org/officeDocument/2006/relationships" name="Suplementação" sheetId="4" state="visible" r:id="rId4"/>
    <sheet xmlns:r="http://schemas.openxmlformats.org/officeDocument/2006/relationships" name="Registro diário" sheetId="5" state="visible" r:id="rId5"/>
    <sheet xmlns:r="http://schemas.openxmlformats.org/officeDocument/2006/relationships" name="Progresso" sheetId="6" state="visible" r:id="rId6"/>
    <sheet xmlns:r="http://schemas.openxmlformats.org/officeDocument/2006/relationships" name="Guia" sheetId="7" state="visible" r:id="rId7"/>
  </sheets>
  <definedNames>
    <definedName name="FoodList">'Base alimentos'!$A$5:$A$20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dd/mm/yy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b val="1"/>
      <color rgb="00666666"/>
    </font>
    <font>
      <b val="1"/>
      <color rgb="000000FF"/>
    </font>
    <font>
      <color rgb="00000000"/>
    </font>
    <font>
      <color rgb="00666666"/>
    </font>
    <font>
      <b val="1"/>
      <color rgb="001F4E78"/>
    </font>
    <font>
      <b val="1"/>
      <color rgb="00FFFFFF"/>
    </font>
    <font>
      <color rgb="00008000"/>
    </font>
    <font>
      <color rgb="00008000"/>
      <sz val="9"/>
    </font>
    <font>
      <i val="1"/>
      <color rgb="00666666"/>
    </font>
    <font>
      <b val="1"/>
      <color rgb="00FFFFFF"/>
      <sz val="12"/>
    </font>
    <font>
      <b val="1"/>
      <color rgb="00000000"/>
    </font>
    <font>
      <b val="1"/>
    </font>
    <font>
      <color rgb="00666666"/>
      <sz val="9"/>
    </font>
    <font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0" applyAlignment="1" pivotButton="0" quotePrefix="0" xfId="0">
      <alignment vertical="center"/>
    </xf>
    <xf numFmtId="1" fontId="6" fillId="0" borderId="0" pivotButton="0" quotePrefix="0" xfId="0"/>
    <xf numFmtId="164" fontId="5" fillId="3" borderId="0" applyAlignment="1" pivotButton="0" quotePrefix="0" xfId="0">
      <alignment vertical="center"/>
    </xf>
    <xf numFmtId="2" fontId="5" fillId="3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164" fontId="6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164" fontId="10" fillId="5" borderId="1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0" fontId="8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3" fillId="2" borderId="0" applyAlignment="1" pivotButton="0" quotePrefix="0" xfId="0">
      <alignment horizontal="right"/>
    </xf>
    <xf numFmtId="164" fontId="14" fillId="4" borderId="0" pivotButton="0" quotePrefix="0" xfId="0"/>
    <xf numFmtId="0" fontId="12" fillId="0" borderId="0" pivotButton="0" quotePrefix="0" xfId="0"/>
    <xf numFmtId="0" fontId="9" fillId="2" borderId="0" applyAlignment="1" pivotButton="0" quotePrefix="0" xfId="0">
      <alignment horizontal="right"/>
    </xf>
    <xf numFmtId="164" fontId="15" fillId="9" borderId="0" pivotButton="0" quotePrefix="0" xfId="0"/>
    <xf numFmtId="0" fontId="16" fillId="0" borderId="0" pivotButton="0" quotePrefix="0" xfId="0"/>
    <xf numFmtId="0" fontId="8" fillId="4" borderId="0" applyAlignment="1" pivotButton="0" quotePrefix="0" xfId="0">
      <alignment horizontal="right"/>
    </xf>
    <xf numFmtId="164" fontId="15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166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2" fontId="6" fillId="0" borderId="1" applyAlignment="1" pivotButton="0" quotePrefix="0" xfId="0">
      <alignment vertical="top" wrapText="1"/>
    </xf>
    <xf numFmtId="10" fontId="6" fillId="0" borderId="1" applyAlignment="1" pivotButton="0" quotePrefix="0" xfId="0">
      <alignment vertical="top" wrapText="1"/>
    </xf>
    <xf numFmtId="0" fontId="12" fillId="4" borderId="0" applyAlignment="1" pivotButton="0" quotePrefix="0" xfId="0">
      <alignment wrapText="1"/>
    </xf>
    <xf numFmtId="0" fontId="11" fillId="0" borderId="0" pivotButton="0" quotePrefix="0" xfId="0"/>
    <xf numFmtId="0" fontId="8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8" fillId="4" borderId="1" applyAlignment="1" pivotButton="0" quotePrefix="0" xfId="0">
      <alignment vertical="center" wrapText="1"/>
    </xf>
    <xf numFmtId="164" fontId="15" fillId="4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médio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'Progresso'!$A$5:$A$16</f>
            </numRef>
          </cat>
          <val>
            <numRef>
              <f>'Progresso'!$B$5:$B$16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10" authorId="0" shapeId="0">
      <text>
        <t>Comece entre 0% e +5%. Para o seu objetivo de ficar definido enquanto ganha massa, mudanças pequenas são mais fáceis de monitorar.</t>
      </text>
    </comment>
    <comment ref="B11" authorId="0" shapeId="0">
      <text>
        <t>A meta de proteína é ajustável. A faixa de 1,4–2,0 g/kg/dia é frequentemente usada para pessoas ativas; 1,8 g/kg é um ponto de partida prático.</t>
      </text>
    </comment>
    <comment ref="B13" authorId="0" shapeId="0">
      <text>
        <t>A fibra é acompanhada porque sua alimentação exclui frutas/verduras/legumes. A meta aqui é um indicador, não uma garantia de adequação de micronutrientes.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3" customWidth="1" min="4" max="4"/>
    <col width="26" customWidth="1" min="5" max="5"/>
    <col width="15" customWidth="1" min="6" max="6"/>
    <col width="12" customWidth="1" min="7" max="7"/>
    <col width="24" customWidth="1" min="8" max="8"/>
  </cols>
  <sheetData>
    <row r="1" ht="28" customHeight="1">
      <c r="A1" s="1" t="inlineStr">
        <is>
          <t>PLANO ALIMENTAR — GANHO DE MASSA COM CONTROLE DE GORDURA</t>
        </is>
      </c>
    </row>
    <row r="2" ht="42" customHeight="1">
      <c r="A2" s="2" t="inlineStr">
        <is>
          <t>Estrutura ajustável para ganhar massa muscular sem usar um superávit agressivo. Como frutas, verduras e legumes ficam fora da sua alimentação, a planilha acompanha fibra e sinaliza micronutrientes como ponto de atenção. Whey entra como alimento prático; creatina fica separada na aba de suplementação.</t>
        </is>
      </c>
    </row>
    <row r="4" ht="22" customHeight="1">
      <c r="A4" s="3" t="inlineStr">
        <is>
          <t>DADOS E CONTROLES</t>
        </is>
      </c>
      <c r="E4" s="3" t="inlineStr">
        <is>
          <t>METAS CALCULADAS</t>
        </is>
      </c>
    </row>
    <row r="5">
      <c r="A5" s="4" t="inlineStr">
        <is>
          <t>Sexo (para estimar metabolismo)</t>
        </is>
      </c>
      <c r="B5" s="5" t="inlineStr"/>
      <c r="E5" s="4" t="inlineStr">
        <is>
          <t>Metabolismo basal estimado</t>
        </is>
      </c>
      <c r="F5" s="6">
        <f>IF(OR(B5="",B6="",B7="",B8=""),"",10*B8+6.25*B7-5*B6+IF(B5="Masculino",5,IF(B5="Feminino",-161,"")))</f>
        <v/>
      </c>
    </row>
    <row r="6">
      <c r="A6" s="4" t="inlineStr">
        <is>
          <t>Idade (anos)</t>
        </is>
      </c>
      <c r="B6" s="7" t="inlineStr"/>
      <c r="E6" s="4" t="inlineStr">
        <is>
          <t>Manutenção estimada</t>
        </is>
      </c>
      <c r="F6" s="6">
        <f>IF(B14&lt;&gt;"",B14,IF(E5="","",E5*B9))</f>
        <v/>
      </c>
    </row>
    <row r="7">
      <c r="A7" s="4" t="inlineStr">
        <is>
          <t>Altura (cm)</t>
        </is>
      </c>
      <c r="B7" s="7" t="inlineStr"/>
      <c r="E7" s="4" t="inlineStr">
        <is>
          <t>Meta calórica diária</t>
        </is>
      </c>
      <c r="F7" s="6">
        <f>IF(E6="","",E6*(1+B10))</f>
        <v/>
      </c>
    </row>
    <row r="8">
      <c r="A8" s="4" t="inlineStr">
        <is>
          <t>Peso atual (kg)</t>
        </is>
      </c>
      <c r="B8" s="7" t="inlineStr"/>
      <c r="E8" s="4" t="inlineStr">
        <is>
          <t>Proteína diária (g)</t>
        </is>
      </c>
      <c r="F8" s="6">
        <f>IF(B8="","",B8*B11)</f>
        <v/>
      </c>
    </row>
    <row r="9">
      <c r="A9" s="4" t="inlineStr">
        <is>
          <t>Fator de atividade</t>
        </is>
      </c>
      <c r="B9" s="8" t="n">
        <v>1.55</v>
      </c>
      <c r="E9" s="4" t="inlineStr">
        <is>
          <t>Gordura diária (g)</t>
        </is>
      </c>
      <c r="F9" s="6">
        <f>IF(B8="","",B8*B12)</f>
        <v/>
      </c>
    </row>
    <row r="10">
      <c r="A10" s="4" t="inlineStr">
        <is>
          <t>Ajuste calórico</t>
        </is>
      </c>
      <c r="B10" s="9" t="n">
        <v>0.03</v>
      </c>
      <c r="E10" s="4" t="inlineStr">
        <is>
          <t>Carboidrato diário (g)</t>
        </is>
      </c>
      <c r="F10" s="6">
        <f>IF(E7="","",MAX(0,(E7-E8*4-E9*9)/4))</f>
        <v/>
      </c>
    </row>
    <row r="11">
      <c r="A11" s="4" t="inlineStr">
        <is>
          <t>Proteína alvo (g/kg)</t>
        </is>
      </c>
      <c r="B11" s="8" t="n">
        <v>1.8</v>
      </c>
      <c r="E11" s="4" t="inlineStr">
        <is>
          <t>Fibra diária (g)</t>
        </is>
      </c>
      <c r="F11" s="10">
        <f>IF(E7="","",E7/1000*B13)</f>
        <v/>
      </c>
    </row>
    <row r="12">
      <c r="A12" s="4" t="inlineStr">
        <is>
          <t>Gordura alvo (g/kg)</t>
        </is>
      </c>
      <c r="B12" s="8" t="n">
        <v>0.8</v>
      </c>
      <c r="E12" s="4" t="inlineStr">
        <is>
          <t>Faixa de peso/semana</t>
        </is>
      </c>
      <c r="F12" s="11">
        <f>IF(B8="","",B8*0.0025)</f>
        <v/>
      </c>
      <c r="H12" s="12" t="inlineStr">
        <is>
          <t>máx. ~0,25% do peso/sem</t>
        </is>
      </c>
    </row>
    <row r="13">
      <c r="A13" s="4" t="inlineStr">
        <is>
          <t>Fibra alvo (g/1000 kcal)</t>
        </is>
      </c>
      <c r="B13" s="8" t="n">
        <v>14</v>
      </c>
    </row>
    <row r="14">
      <c r="A14" s="4" t="inlineStr">
        <is>
          <t>Manutenção manual (kcal, opcional)</t>
        </is>
      </c>
      <c r="B14" s="7" t="inlineStr"/>
    </row>
    <row r="16" ht="22" customHeight="1">
      <c r="A16" s="3" t="inlineStr">
        <is>
          <t>LEITURA RÁPIDA DO DIA</t>
        </is>
      </c>
    </row>
    <row r="18">
      <c r="A18" s="4" t="inlineStr">
        <is>
          <t>Calorias planejadas</t>
        </is>
      </c>
      <c r="B18" s="10">
        <f>'Plano diário'!E26</f>
        <v/>
      </c>
      <c r="E18" s="12" t="inlineStr">
        <is>
          <t>kcal</t>
        </is>
      </c>
    </row>
    <row r="19">
      <c r="A19" s="4" t="inlineStr">
        <is>
          <t>Proteína planejada</t>
        </is>
      </c>
      <c r="B19" s="10">
        <f>'Plano diário'!F26</f>
        <v/>
      </c>
      <c r="E19" s="12" t="inlineStr">
        <is>
          <t>g</t>
        </is>
      </c>
    </row>
    <row r="20">
      <c r="A20" s="4" t="inlineStr">
        <is>
          <t>Diferença vs meta</t>
        </is>
      </c>
      <c r="B20" s="10">
        <f>IF(OR(B18="",F7=""),"",B18-F7)</f>
        <v/>
      </c>
      <c r="E20" s="12" t="inlineStr">
        <is>
          <t>kcal</t>
        </is>
      </c>
    </row>
    <row r="21">
      <c r="A21" s="4" t="inlineStr">
        <is>
          <t>Proteína vs meta</t>
        </is>
      </c>
      <c r="B21" s="10">
        <f>IF(OR(B19="",F8=""),"",B19-F8)</f>
        <v/>
      </c>
      <c r="E21" s="12" t="inlineStr">
        <is>
          <t>g</t>
        </is>
      </c>
    </row>
    <row r="23">
      <c r="A23" s="13" t="inlineStr">
        <is>
          <t>Como interpretar o ajuste calórico</t>
        </is>
      </c>
    </row>
    <row r="24">
      <c r="A24" s="14" t="inlineStr">
        <is>
          <t>0%</t>
        </is>
      </c>
      <c r="B24" s="15" t="inlineStr">
        <is>
          <t>recomposição/manutenção: mais conservador para quem prioriza definição.</t>
        </is>
      </c>
    </row>
    <row r="25">
      <c r="A25" s="14" t="inlineStr">
        <is>
          <t>+2% a +5%</t>
        </is>
      </c>
      <c r="B25" s="15" t="inlineStr">
        <is>
          <t>ganho controlado: pequeno superávit para favorecer massa, monitorando cintura e peso.</t>
        </is>
      </c>
    </row>
    <row r="26">
      <c r="A26" s="14" t="inlineStr">
        <is>
          <t>Evite subir rápido</t>
        </is>
      </c>
      <c r="B26" s="15" t="inlineStr">
        <is>
          <t>se peso/cintura dispararem, reduza ~100–150 kcal e reavalie por 1–2 semanas.</t>
        </is>
      </c>
    </row>
  </sheetData>
  <mergeCells count="31">
    <mergeCell ref="F11:G11"/>
    <mergeCell ref="B7:C7"/>
    <mergeCell ref="F10:G10"/>
    <mergeCell ref="B24:H24"/>
    <mergeCell ref="F6:G6"/>
    <mergeCell ref="A1:H1"/>
    <mergeCell ref="F7:G7"/>
    <mergeCell ref="B12:C12"/>
    <mergeCell ref="F12:G12"/>
    <mergeCell ref="B19:D19"/>
    <mergeCell ref="B26:H26"/>
    <mergeCell ref="B11:C11"/>
    <mergeCell ref="A16:H16"/>
    <mergeCell ref="F5:G5"/>
    <mergeCell ref="B14:C14"/>
    <mergeCell ref="B25:H25"/>
    <mergeCell ref="A4:C4"/>
    <mergeCell ref="B8:C8"/>
    <mergeCell ref="B20:D20"/>
    <mergeCell ref="F8:G8"/>
    <mergeCell ref="B13:C13"/>
    <mergeCell ref="A2:H2"/>
    <mergeCell ref="E4:H4"/>
    <mergeCell ref="B10:C10"/>
    <mergeCell ref="A23:B23"/>
    <mergeCell ref="B9:C9"/>
    <mergeCell ref="F9:G9"/>
    <mergeCell ref="B6:C6"/>
    <mergeCell ref="B5:C5"/>
    <mergeCell ref="B18:D18"/>
    <mergeCell ref="B21:D21"/>
  </mergeCells>
  <dataValidations count="1">
    <dataValidation sqref="B5" showDropDown="0" showInputMessage="0" showErrorMessage="0" allowBlank="1" type="list">
      <formula1>"Masculino,Feminino"</formula1>
    </dataValidation>
  </dataValidations>
  <pageMargins left="0.25" right="0.25" top="0.4" bottom="0.4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6" customWidth="1" min="4" max="4"/>
    <col width="13" customWidth="1" min="5" max="5"/>
    <col width="11" customWidth="1" min="6" max="6"/>
    <col width="28" customWidth="1" min="7" max="7"/>
    <col width="55" customWidth="1" min="8" max="8"/>
  </cols>
  <sheetData>
    <row r="1" ht="28" customHeight="1">
      <c r="A1" s="1" t="inlineStr">
        <is>
          <t>BASE DE ALIMENTOS — VALORES POR 100 g / 100 ml</t>
        </is>
      </c>
    </row>
    <row r="2" ht="42" customHeight="1">
      <c r="A2" s="2" t="inlineStr">
        <is>
          <t>Valores-base aproximados para montar a dieta. Para alimentos industrializados (especialmente whey, iogurte, pão e pasta de amendoim), substitua pelos dados do rótulo da marca que você realmente usa.</t>
        </is>
      </c>
    </row>
    <row r="4" ht="30" customHeight="1">
      <c r="A4" s="16" t="inlineStr">
        <is>
          <t>Alimento</t>
        </is>
      </c>
      <c r="B4" s="16" t="inlineStr">
        <is>
          <t>kcal</t>
        </is>
      </c>
      <c r="C4" s="16" t="inlineStr">
        <is>
          <t>Proteína (g)</t>
        </is>
      </c>
      <c r="D4" s="16" t="inlineStr">
        <is>
          <t>Carboidrato (g)</t>
        </is>
      </c>
      <c r="E4" s="16" t="inlineStr">
        <is>
          <t>Gordura (g)</t>
        </is>
      </c>
      <c r="F4" s="16" t="inlineStr">
        <is>
          <t>Fibra (g)</t>
        </is>
      </c>
      <c r="G4" s="16" t="inlineStr">
        <is>
          <t>Referência prática</t>
        </is>
      </c>
      <c r="H4" s="16" t="inlineStr">
        <is>
          <t>Fonte</t>
        </is>
      </c>
    </row>
    <row r="5">
      <c r="A5" s="17" t="inlineStr">
        <is>
          <t>Arroz branco cozido</t>
        </is>
      </c>
      <c r="B5" s="18" t="n">
        <v>128</v>
      </c>
      <c r="C5" s="18" t="n">
        <v>2.5</v>
      </c>
      <c r="D5" s="18" t="n">
        <v>28.1</v>
      </c>
      <c r="E5" s="18" t="n">
        <v>0.2</v>
      </c>
      <c r="F5" s="18" t="n">
        <v>1.6</v>
      </c>
      <c r="G5" s="17" t="inlineStr">
        <is>
          <t>100 g cozido</t>
        </is>
      </c>
      <c r="H5" s="19" t="inlineStr">
        <is>
          <t>https://nepa.unicamp.br/tabela-brasileira-de-composicao-de-alimentos-4a-edicao/</t>
        </is>
      </c>
    </row>
    <row r="6">
      <c r="A6" s="17" t="inlineStr">
        <is>
          <t>Peito de frango grelhado</t>
        </is>
      </c>
      <c r="B6" s="18" t="n">
        <v>159</v>
      </c>
      <c r="C6" s="18" t="n">
        <v>32</v>
      </c>
      <c r="D6" s="18" t="n">
        <v>0</v>
      </c>
      <c r="E6" s="18" t="n">
        <v>2.5</v>
      </c>
      <c r="F6" s="18" t="n">
        <v>0</v>
      </c>
      <c r="G6" s="17" t="inlineStr">
        <is>
          <t>100 g pronto</t>
        </is>
      </c>
      <c r="H6" s="19" t="inlineStr">
        <is>
          <t>https://nepa.unicamp.br/tabela-brasileira-de-composicao-de-alimentos-4a-edicao/</t>
        </is>
      </c>
    </row>
    <row r="7">
      <c r="A7" s="17" t="inlineStr">
        <is>
          <t>Patinho bovino grelhado</t>
        </is>
      </c>
      <c r="B7" s="18" t="n">
        <v>219</v>
      </c>
      <c r="C7" s="18" t="n">
        <v>35.9</v>
      </c>
      <c r="D7" s="18" t="n">
        <v>0</v>
      </c>
      <c r="E7" s="18" t="n">
        <v>7.3</v>
      </c>
      <c r="F7" s="18" t="n">
        <v>0</v>
      </c>
      <c r="G7" s="17" t="inlineStr">
        <is>
          <t>100 g pronto</t>
        </is>
      </c>
      <c r="H7" s="19" t="inlineStr">
        <is>
          <t>https://nepa.unicamp.br/tabela-brasileira-de-composicao-de-alimentos-4a-edicao/</t>
        </is>
      </c>
    </row>
    <row r="8">
      <c r="A8" s="17" t="inlineStr">
        <is>
          <t>Ovo inteiro</t>
        </is>
      </c>
      <c r="B8" s="18" t="n">
        <v>146</v>
      </c>
      <c r="C8" s="18" t="n">
        <v>13.3</v>
      </c>
      <c r="D8" s="18" t="n">
        <v>0.6</v>
      </c>
      <c r="E8" s="18" t="n">
        <v>9.5</v>
      </c>
      <c r="F8" s="18" t="n">
        <v>0</v>
      </c>
      <c r="G8" s="17" t="inlineStr">
        <is>
          <t>~50 g por ovo grande</t>
        </is>
      </c>
      <c r="H8" s="19" t="inlineStr">
        <is>
          <t>https://nepa.unicamp.br/tabela-brasileira-de-composicao-de-alimentos-4a-edicao/</t>
        </is>
      </c>
    </row>
    <row r="9">
      <c r="A9" s="17" t="inlineStr">
        <is>
          <t>Pão francês</t>
        </is>
      </c>
      <c r="B9" s="18" t="n">
        <v>300</v>
      </c>
      <c r="C9" s="18" t="n">
        <v>8</v>
      </c>
      <c r="D9" s="18" t="n">
        <v>58.6</v>
      </c>
      <c r="E9" s="18" t="n">
        <v>3.1</v>
      </c>
      <c r="F9" s="18" t="n">
        <v>2.3</v>
      </c>
      <c r="G9" s="17" t="inlineStr">
        <is>
          <t>~50 g por unidade</t>
        </is>
      </c>
      <c r="H9" s="19" t="inlineStr">
        <is>
          <t>https://nepa.unicamp.br/tabela-brasileira-de-composicao-de-alimentos-4a-edicao/</t>
        </is>
      </c>
    </row>
    <row r="10">
      <c r="A10" s="17" t="inlineStr">
        <is>
          <t>Pão integral</t>
        </is>
      </c>
      <c r="B10" s="18" t="n">
        <v>253</v>
      </c>
      <c r="C10" s="18" t="n">
        <v>9.4</v>
      </c>
      <c r="D10" s="18" t="n">
        <v>49.9</v>
      </c>
      <c r="E10" s="18" t="n">
        <v>3.7</v>
      </c>
      <c r="F10" s="18" t="n">
        <v>6.9</v>
      </c>
      <c r="G10" s="17" t="inlineStr">
        <is>
          <t>conferir peso da fatia</t>
        </is>
      </c>
      <c r="H10" s="19" t="inlineStr">
        <is>
          <t>https://nepa.unicamp.br/tabela-brasileira-de-composicao-de-alimentos-4a-edicao/</t>
        </is>
      </c>
    </row>
    <row r="11">
      <c r="A11" s="17" t="inlineStr">
        <is>
          <t>Leite integral</t>
        </is>
      </c>
      <c r="B11" s="18" t="n">
        <v>61</v>
      </c>
      <c r="C11" s="18" t="n">
        <v>3.2</v>
      </c>
      <c r="D11" s="18" t="n">
        <v>4.7</v>
      </c>
      <c r="E11" s="18" t="n">
        <v>3.3</v>
      </c>
      <c r="F11" s="18" t="n">
        <v>0</v>
      </c>
      <c r="G11" s="17" t="inlineStr">
        <is>
          <t>100 ml</t>
        </is>
      </c>
      <c r="H11" s="19" t="inlineStr">
        <is>
          <t>https://nepa.unicamp.br/tabela-brasileira-de-composicao-de-alimentos-4a-edicao/</t>
        </is>
      </c>
    </row>
    <row r="12">
      <c r="A12" s="17" t="inlineStr">
        <is>
          <t>Leite semidesnatado</t>
        </is>
      </c>
      <c r="B12" s="18" t="n">
        <v>46</v>
      </c>
      <c r="C12" s="18" t="n">
        <v>3.2</v>
      </c>
      <c r="D12" s="18" t="n">
        <v>4.8</v>
      </c>
      <c r="E12" s="18" t="n">
        <v>1.6</v>
      </c>
      <c r="F12" s="18" t="n">
        <v>0</v>
      </c>
      <c r="G12" s="17" t="inlineStr">
        <is>
          <t>100 ml</t>
        </is>
      </c>
      <c r="H12" s="19" t="inlineStr">
        <is>
          <t>https://nepa.unicamp.br/tabela-brasileira-de-composicao-de-alimentos-4a-edicao/</t>
        </is>
      </c>
    </row>
    <row r="13">
      <c r="A13" s="17" t="inlineStr">
        <is>
          <t>Iogurte natural integral</t>
        </is>
      </c>
      <c r="B13" s="18" t="n">
        <v>61</v>
      </c>
      <c r="C13" s="18" t="n">
        <v>3.5</v>
      </c>
      <c r="D13" s="18" t="n">
        <v>4.7</v>
      </c>
      <c r="E13" s="18" t="n">
        <v>3.3</v>
      </c>
      <c r="F13" s="18" t="n">
        <v>0</v>
      </c>
      <c r="G13" s="17" t="inlineStr">
        <is>
          <t>100 g</t>
        </is>
      </c>
      <c r="H13" s="19" t="inlineStr">
        <is>
          <t>https://nepa.unicamp.br/tabela-brasileira-de-composicao-de-alimentos-4a-edicao/</t>
        </is>
      </c>
    </row>
    <row r="14">
      <c r="A14" s="17" t="inlineStr">
        <is>
          <t>Aveia em flocos</t>
        </is>
      </c>
      <c r="B14" s="18" t="n">
        <v>394</v>
      </c>
      <c r="C14" s="18" t="n">
        <v>13.9</v>
      </c>
      <c r="D14" s="18" t="n">
        <v>66.59999999999999</v>
      </c>
      <c r="E14" s="18" t="n">
        <v>8.5</v>
      </c>
      <c r="F14" s="18" t="n">
        <v>9.1</v>
      </c>
      <c r="G14" s="17" t="inlineStr">
        <is>
          <t>30–50 g costuma ser fácil de usar</t>
        </is>
      </c>
      <c r="H14" s="19" t="inlineStr">
        <is>
          <t>https://nepa.unicamp.br/tabela-brasileira-de-composicao-de-alimentos-4a-edicao/</t>
        </is>
      </c>
    </row>
    <row r="15">
      <c r="A15" s="17" t="inlineStr">
        <is>
          <t>Macarrão cozido</t>
        </is>
      </c>
      <c r="B15" s="18" t="n">
        <v>157</v>
      </c>
      <c r="C15" s="18" t="n">
        <v>5.8</v>
      </c>
      <c r="D15" s="18" t="n">
        <v>30.9</v>
      </c>
      <c r="E15" s="18" t="n">
        <v>0.9</v>
      </c>
      <c r="F15" s="18" t="n">
        <v>1.8</v>
      </c>
      <c r="G15" s="17" t="inlineStr">
        <is>
          <t>100 g cozido</t>
        </is>
      </c>
      <c r="H15" s="19" t="inlineStr">
        <is>
          <t>https://nepa.unicamp.br/tabela-brasileira-de-composicao-de-alimentos-4a-edicao/</t>
        </is>
      </c>
    </row>
    <row r="16">
      <c r="A16" s="17" t="inlineStr">
        <is>
          <t>Queijo muçarela</t>
        </is>
      </c>
      <c r="B16" s="18" t="n">
        <v>330</v>
      </c>
      <c r="C16" s="18" t="n">
        <v>22.6</v>
      </c>
      <c r="D16" s="18" t="n">
        <v>3</v>
      </c>
      <c r="E16" s="18" t="n">
        <v>25.2</v>
      </c>
      <c r="F16" s="18" t="n">
        <v>0</v>
      </c>
      <c r="G16" s="17" t="inlineStr">
        <is>
          <t>conferir peso da fatia</t>
        </is>
      </c>
      <c r="H16" s="19" t="inlineStr">
        <is>
          <t>https://nepa.unicamp.br/tabela-brasileira-de-composicao-de-alimentos-4a-edicao/</t>
        </is>
      </c>
    </row>
    <row r="17">
      <c r="A17" s="17" t="inlineStr">
        <is>
          <t>Pasta de amendoim</t>
        </is>
      </c>
      <c r="B17" s="18" t="n">
        <v>588</v>
      </c>
      <c r="C17" s="18" t="n">
        <v>25</v>
      </c>
      <c r="D17" s="18" t="n">
        <v>20</v>
      </c>
      <c r="E17" s="18" t="n">
        <v>50</v>
      </c>
      <c r="F17" s="18" t="n">
        <v>6</v>
      </c>
      <c r="G17" s="17" t="inlineStr">
        <is>
          <t>15–30 g; conferir rótulo</t>
        </is>
      </c>
      <c r="H17" s="19" t="inlineStr">
        <is>
          <t>https://www.gov.br/anvisa/pt-br/assuntos/alimentos/rotulagem</t>
        </is>
      </c>
    </row>
    <row r="18">
      <c r="A18" s="20" t="inlineStr">
        <is>
          <t>Whey protein (rótulo)</t>
        </is>
      </c>
      <c r="B18" s="21" t="n">
        <v>400</v>
      </c>
      <c r="C18" s="21" t="n">
        <v>80</v>
      </c>
      <c r="D18" s="21" t="n">
        <v>8</v>
      </c>
      <c r="E18" s="21" t="n">
        <v>6</v>
      </c>
      <c r="F18" s="21" t="n">
        <v>0</v>
      </c>
      <c r="G18" s="20" t="inlineStr">
        <is>
          <t>valores genéricos; EDITE pelo seu rótulo</t>
        </is>
      </c>
      <c r="H18" s="19" t="inlineStr">
        <is>
          <t>https://www.gov.br/anvisa/pt-br/assuntos/alimentos/rotulagem</t>
        </is>
      </c>
    </row>
    <row r="19">
      <c r="A19" s="17" t="inlineStr">
        <is>
          <t>Granola sem fruta</t>
        </is>
      </c>
      <c r="B19" s="18" t="n">
        <v>430</v>
      </c>
      <c r="C19" s="18" t="n">
        <v>10</v>
      </c>
      <c r="D19" s="18" t="n">
        <v>64</v>
      </c>
      <c r="E19" s="18" t="n">
        <v>15</v>
      </c>
      <c r="F19" s="18" t="n">
        <v>7</v>
      </c>
      <c r="G19" s="17" t="inlineStr">
        <is>
          <t>conferir rótulo</t>
        </is>
      </c>
      <c r="H19" s="19" t="inlineStr">
        <is>
          <t>https://www.gov.br/anvisa/pt-br/assuntos/alimentos/rotulagem</t>
        </is>
      </c>
    </row>
    <row r="20">
      <c r="A20" s="17" t="inlineStr">
        <is>
          <t>Tapioca / goma hidratada</t>
        </is>
      </c>
      <c r="B20" s="18" t="n">
        <v>230</v>
      </c>
      <c r="C20" s="18" t="n">
        <v>0.2</v>
      </c>
      <c r="D20" s="18" t="n">
        <v>57</v>
      </c>
      <c r="E20" s="18" t="n">
        <v>0</v>
      </c>
      <c r="F20" s="18" t="n">
        <v>0.2</v>
      </c>
      <c r="G20" s="17" t="inlineStr">
        <is>
          <t>conferir rótulo/marca</t>
        </is>
      </c>
      <c r="H20" s="19" t="inlineStr">
        <is>
          <t>https://nepa.unicamp.br/tabela-brasileira-de-composicao-de-alimentos-4a-edicao/</t>
        </is>
      </c>
    </row>
    <row r="22">
      <c r="A22" s="22" t="inlineStr">
        <is>
          <t>Observação: a base é um ponto de partida. Em alimentos embalados, o rótulo real ganha prioridade porque marcas e receitas mudam bastante.</t>
        </is>
      </c>
    </row>
  </sheetData>
  <mergeCells count="3">
    <mergeCell ref="A2:H2"/>
    <mergeCell ref="A22:H22"/>
    <mergeCell ref="A1:H1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3" customWidth="1" min="3" max="3"/>
    <col width="14" customWidth="1" min="4" max="4"/>
    <col width="10" customWidth="1" min="5" max="5"/>
    <col width="14" customWidth="1" min="6" max="6"/>
    <col width="12" customWidth="1" min="7" max="7"/>
    <col width="13" customWidth="1" min="8" max="8"/>
    <col width="11" customWidth="1" min="9" max="9"/>
    <col width="31" customWidth="1" min="10" max="10"/>
  </cols>
  <sheetData>
    <row r="1" ht="28" customHeight="1">
      <c r="A1" s="1" t="inlineStr">
        <is>
          <t>PLANO DIÁRIO — MONTADOR DE REFEIÇÕES</t>
        </is>
      </c>
    </row>
    <row r="2" ht="42" customHeight="1">
      <c r="A2" s="2" t="inlineStr">
        <is>
          <t>Escolha o alimento na lista, digite a quantidade em gramas ou mililitros e a planilha calcula os macros. Já deixei uma estrutura sem frutas, verduras e legumes; as porções ficam totalmente editáveis para você fechar o dia contra a meta do Painel.</t>
        </is>
      </c>
    </row>
    <row r="4" ht="30" customHeight="1">
      <c r="A4" s="16" t="inlineStr">
        <is>
          <t>Refeição</t>
        </is>
      </c>
      <c r="B4" s="16" t="inlineStr">
        <is>
          <t>Alimento</t>
        </is>
      </c>
      <c r="C4" s="16" t="inlineStr">
        <is>
          <t>Qtd. (g/ml)</t>
        </is>
      </c>
      <c r="D4" s="16" t="inlineStr">
        <is>
          <t>Meta kcal/ref.</t>
        </is>
      </c>
      <c r="E4" s="16" t="inlineStr">
        <is>
          <t>kcal</t>
        </is>
      </c>
      <c r="F4" s="16" t="inlineStr">
        <is>
          <t>Proteína (g)</t>
        </is>
      </c>
      <c r="G4" s="16" t="inlineStr">
        <is>
          <t>Carbo (g)</t>
        </is>
      </c>
      <c r="H4" s="16" t="inlineStr">
        <is>
          <t>Gordura (g)</t>
        </is>
      </c>
      <c r="I4" s="16" t="inlineStr">
        <is>
          <t>Fibra (g)</t>
        </is>
      </c>
      <c r="J4" s="16" t="inlineStr">
        <is>
          <t>Observação</t>
        </is>
      </c>
    </row>
    <row r="5">
      <c r="A5" s="23" t="inlineStr">
        <is>
          <t>Café da manhã</t>
        </is>
      </c>
      <c r="B5" s="24" t="inlineStr">
        <is>
          <t>Ovo inteiro</t>
        </is>
      </c>
      <c r="C5" s="25" t="inlineStr"/>
      <c r="D5" s="26" t="inlineStr"/>
      <c r="E5" s="27">
        <f>IF(OR(B5="",C5=""),"",IFERROR(C5/100*VLOOKUP(B5,'Base alimentos'!$A$5:$H$20,2,FALSE),""))</f>
        <v/>
      </c>
      <c r="F5" s="27">
        <f>IF(OR(B5="",C5=""),"",IFERROR(C5/100*VLOOKUP(B5,'Base alimentos'!$A$5:$H$20,3,FALSE),""))</f>
        <v/>
      </c>
      <c r="G5" s="27">
        <f>IF(OR(B5="",C5=""),"",IFERROR(C5/100*VLOOKUP(B5,'Base alimentos'!$A$5:$H$20,4,FALSE),""))</f>
        <v/>
      </c>
      <c r="H5" s="27">
        <f>IF(OR(B5="",C5=""),"",IFERROR(C5/100*VLOOKUP(B5,'Base alimentos'!$A$5:$H$20,5,FALSE),""))</f>
        <v/>
      </c>
      <c r="I5" s="27">
        <f>IF(OR(B5="",C5=""),"",IFERROR(C5/100*VLOOKUP(B5,'Base alimentos'!$A$5:$H$20,6,FALSE),""))</f>
        <v/>
      </c>
      <c r="J5" s="28" t="inlineStr"/>
    </row>
    <row r="6">
      <c r="A6" s="28" t="n"/>
      <c r="B6" s="24" t="inlineStr">
        <is>
          <t>Pão integral</t>
        </is>
      </c>
      <c r="C6" s="25" t="inlineStr"/>
      <c r="D6" s="26" t="inlineStr"/>
      <c r="E6" s="27">
        <f>IF(OR(B6="",C6=""),"",IFERROR(C6/100*VLOOKUP(B6,'Base alimentos'!$A$5:$H$20,2,FALSE),""))</f>
        <v/>
      </c>
      <c r="F6" s="27">
        <f>IF(OR(B6="",C6=""),"",IFERROR(C6/100*VLOOKUP(B6,'Base alimentos'!$A$5:$H$20,3,FALSE),""))</f>
        <v/>
      </c>
      <c r="G6" s="27">
        <f>IF(OR(B6="",C6=""),"",IFERROR(C6/100*VLOOKUP(B6,'Base alimentos'!$A$5:$H$20,4,FALSE),""))</f>
        <v/>
      </c>
      <c r="H6" s="27">
        <f>IF(OR(B6="",C6=""),"",IFERROR(C6/100*VLOOKUP(B6,'Base alimentos'!$A$5:$H$20,5,FALSE),""))</f>
        <v/>
      </c>
      <c r="I6" s="27">
        <f>IF(OR(B6="",C6=""),"",IFERROR(C6/100*VLOOKUP(B6,'Base alimentos'!$A$5:$H$20,6,FALSE),""))</f>
        <v/>
      </c>
      <c r="J6" s="28" t="inlineStr"/>
    </row>
    <row r="7">
      <c r="A7" s="28" t="n"/>
      <c r="B7" s="24" t="inlineStr">
        <is>
          <t>Leite semidesnatado</t>
        </is>
      </c>
      <c r="C7" s="25" t="inlineStr"/>
      <c r="D7" s="26" t="inlineStr"/>
      <c r="E7" s="27">
        <f>IF(OR(B7="",C7=""),"",IFERROR(C7/100*VLOOKUP(B7,'Base alimentos'!$A$5:$H$20,2,FALSE),""))</f>
        <v/>
      </c>
      <c r="F7" s="27">
        <f>IF(OR(B7="",C7=""),"",IFERROR(C7/100*VLOOKUP(B7,'Base alimentos'!$A$5:$H$20,3,FALSE),""))</f>
        <v/>
      </c>
      <c r="G7" s="27">
        <f>IF(OR(B7="",C7=""),"",IFERROR(C7/100*VLOOKUP(B7,'Base alimentos'!$A$5:$H$20,4,FALSE),""))</f>
        <v/>
      </c>
      <c r="H7" s="27">
        <f>IF(OR(B7="",C7=""),"",IFERROR(C7/100*VLOOKUP(B7,'Base alimentos'!$A$5:$H$20,5,FALSE),""))</f>
        <v/>
      </c>
      <c r="I7" s="27">
        <f>IF(OR(B7="",C7=""),"",IFERROR(C7/100*VLOOKUP(B7,'Base alimentos'!$A$5:$H$20,6,FALSE),""))</f>
        <v/>
      </c>
      <c r="J7" s="28" t="inlineStr"/>
    </row>
    <row r="8">
      <c r="A8" s="51" t="inlineStr">
        <is>
          <t>CAFÉ DA MANHÃ — subtotal</t>
        </is>
      </c>
      <c r="B8" s="52" t="n"/>
      <c r="C8" s="52" t="n"/>
      <c r="D8" s="53">
        <f>IF(Painel!$F$7="","",Painel!$F$7*0.2)</f>
        <v/>
      </c>
      <c r="E8" s="54">
        <f>SUM(E5:E7)</f>
        <v/>
      </c>
      <c r="F8" s="54">
        <f>SUM(F5:F7)</f>
        <v/>
      </c>
      <c r="G8" s="54">
        <f>SUM(G5:G7)</f>
        <v/>
      </c>
      <c r="H8" s="54">
        <f>SUM(H5:H7)</f>
        <v/>
      </c>
      <c r="I8" s="54">
        <f>SUM(I5:I7)</f>
        <v/>
      </c>
      <c r="J8" s="55" t="inlineStr">
        <is>
          <t>Meta kcal à esquerda; macros são o subtotal real da refeição.</t>
        </is>
      </c>
    </row>
    <row r="9">
      <c r="A9" s="29" t="inlineStr">
        <is>
          <t>Almoço</t>
        </is>
      </c>
      <c r="B9" s="24" t="inlineStr">
        <is>
          <t>Arroz branco cozido</t>
        </is>
      </c>
      <c r="C9" s="25" t="inlineStr"/>
      <c r="D9" s="26" t="inlineStr"/>
      <c r="E9" s="27">
        <f>IF(OR(B9="",C9=""),"",IFERROR(C9/100*VLOOKUP(B9,'Base alimentos'!$A$5:$H$20,2,FALSE),""))</f>
        <v/>
      </c>
      <c r="F9" s="27">
        <f>IF(OR(B9="",C9=""),"",IFERROR(C9/100*VLOOKUP(B9,'Base alimentos'!$A$5:$H$20,3,FALSE),""))</f>
        <v/>
      </c>
      <c r="G9" s="27">
        <f>IF(OR(B9="",C9=""),"",IFERROR(C9/100*VLOOKUP(B9,'Base alimentos'!$A$5:$H$20,4,FALSE),""))</f>
        <v/>
      </c>
      <c r="H9" s="27">
        <f>IF(OR(B9="",C9=""),"",IFERROR(C9/100*VLOOKUP(B9,'Base alimentos'!$A$5:$H$20,5,FALSE),""))</f>
        <v/>
      </c>
      <c r="I9" s="27">
        <f>IF(OR(B9="",C9=""),"",IFERROR(C9/100*VLOOKUP(B9,'Base alimentos'!$A$5:$H$20,6,FALSE),""))</f>
        <v/>
      </c>
      <c r="J9" s="28" t="inlineStr"/>
    </row>
    <row r="10">
      <c r="A10" s="28" t="n"/>
      <c r="B10" s="24" t="inlineStr">
        <is>
          <t>Peito de frango grelhado</t>
        </is>
      </c>
      <c r="C10" s="25" t="inlineStr"/>
      <c r="D10" s="26" t="inlineStr"/>
      <c r="E10" s="27">
        <f>IF(OR(B10="",C10=""),"",IFERROR(C10/100*VLOOKUP(B10,'Base alimentos'!$A$5:$H$20,2,FALSE),""))</f>
        <v/>
      </c>
      <c r="F10" s="27">
        <f>IF(OR(B10="",C10=""),"",IFERROR(C10/100*VLOOKUP(B10,'Base alimentos'!$A$5:$H$20,3,FALSE),""))</f>
        <v/>
      </c>
      <c r="G10" s="27">
        <f>IF(OR(B10="",C10=""),"",IFERROR(C10/100*VLOOKUP(B10,'Base alimentos'!$A$5:$H$20,4,FALSE),""))</f>
        <v/>
      </c>
      <c r="H10" s="27">
        <f>IF(OR(B10="",C10=""),"",IFERROR(C10/100*VLOOKUP(B10,'Base alimentos'!$A$5:$H$20,5,FALSE),""))</f>
        <v/>
      </c>
      <c r="I10" s="27">
        <f>IF(OR(B10="",C10=""),"",IFERROR(C10/100*VLOOKUP(B10,'Base alimentos'!$A$5:$H$20,6,FALSE),""))</f>
        <v/>
      </c>
      <c r="J10" s="28" t="inlineStr"/>
    </row>
    <row r="11">
      <c r="A11" s="28" t="n"/>
      <c r="B11" s="24" t="inlineStr"/>
      <c r="C11" s="25" t="inlineStr"/>
      <c r="D11" s="26" t="inlineStr"/>
      <c r="E11" s="27">
        <f>IF(OR(B11="",C11=""),"",IFERROR(C11/100*VLOOKUP(B11,'Base alimentos'!$A$5:$H$20,2,FALSE),""))</f>
        <v/>
      </c>
      <c r="F11" s="27">
        <f>IF(OR(B11="",C11=""),"",IFERROR(C11/100*VLOOKUP(B11,'Base alimentos'!$A$5:$H$20,3,FALSE),""))</f>
        <v/>
      </c>
      <c r="G11" s="27">
        <f>IF(OR(B11="",C11=""),"",IFERROR(C11/100*VLOOKUP(B11,'Base alimentos'!$A$5:$H$20,4,FALSE),""))</f>
        <v/>
      </c>
      <c r="H11" s="27">
        <f>IF(OR(B11="",C11=""),"",IFERROR(C11/100*VLOOKUP(B11,'Base alimentos'!$A$5:$H$20,5,FALSE),""))</f>
        <v/>
      </c>
      <c r="I11" s="27">
        <f>IF(OR(B11="",C11=""),"",IFERROR(C11/100*VLOOKUP(B11,'Base alimentos'!$A$5:$H$20,6,FALSE),""))</f>
        <v/>
      </c>
      <c r="J11" s="28" t="inlineStr"/>
    </row>
    <row r="12">
      <c r="A12" s="51" t="inlineStr">
        <is>
          <t>ALMOÇO — subtotal</t>
        </is>
      </c>
      <c r="B12" s="52" t="n"/>
      <c r="C12" s="52" t="n"/>
      <c r="D12" s="53">
        <f>IF(Painel!$F$7="","",Painel!$F$7*0.3)</f>
        <v/>
      </c>
      <c r="E12" s="54">
        <f>SUM(E9:E11)</f>
        <v/>
      </c>
      <c r="F12" s="54">
        <f>SUM(F9:F11)</f>
        <v/>
      </c>
      <c r="G12" s="54">
        <f>SUM(G9:G11)</f>
        <v/>
      </c>
      <c r="H12" s="54">
        <f>SUM(H9:H11)</f>
        <v/>
      </c>
      <c r="I12" s="54">
        <f>SUM(I9:I11)</f>
        <v/>
      </c>
      <c r="J12" s="55" t="inlineStr">
        <is>
          <t>Meta kcal à esquerda; macros são o subtotal real da refeição.</t>
        </is>
      </c>
    </row>
    <row r="13">
      <c r="A13" s="30" t="inlineStr">
        <is>
          <t>Lanche / pré ou pós</t>
        </is>
      </c>
      <c r="B13" s="24" t="inlineStr">
        <is>
          <t>Whey protein (rótulo)</t>
        </is>
      </c>
      <c r="C13" s="25" t="inlineStr"/>
      <c r="D13" s="26" t="inlineStr"/>
      <c r="E13" s="27">
        <f>IF(OR(B13="",C13=""),"",IFERROR(C13/100*VLOOKUP(B13,'Base alimentos'!$A$5:$H$20,2,FALSE),""))</f>
        <v/>
      </c>
      <c r="F13" s="27">
        <f>IF(OR(B13="",C13=""),"",IFERROR(C13/100*VLOOKUP(B13,'Base alimentos'!$A$5:$H$20,3,FALSE),""))</f>
        <v/>
      </c>
      <c r="G13" s="27">
        <f>IF(OR(B13="",C13=""),"",IFERROR(C13/100*VLOOKUP(B13,'Base alimentos'!$A$5:$H$20,4,FALSE),""))</f>
        <v/>
      </c>
      <c r="H13" s="27">
        <f>IF(OR(B13="",C13=""),"",IFERROR(C13/100*VLOOKUP(B13,'Base alimentos'!$A$5:$H$20,5,FALSE),""))</f>
        <v/>
      </c>
      <c r="I13" s="27">
        <f>IF(OR(B13="",C13=""),"",IFERROR(C13/100*VLOOKUP(B13,'Base alimentos'!$A$5:$H$20,6,FALSE),""))</f>
        <v/>
      </c>
      <c r="J13" s="28" t="inlineStr"/>
    </row>
    <row r="14">
      <c r="A14" s="28" t="n"/>
      <c r="B14" s="24" t="inlineStr">
        <is>
          <t>Aveia em flocos</t>
        </is>
      </c>
      <c r="C14" s="25" t="inlineStr"/>
      <c r="D14" s="26" t="inlineStr"/>
      <c r="E14" s="27">
        <f>IF(OR(B14="",C14=""),"",IFERROR(C14/100*VLOOKUP(B14,'Base alimentos'!$A$5:$H$20,2,FALSE),""))</f>
        <v/>
      </c>
      <c r="F14" s="27">
        <f>IF(OR(B14="",C14=""),"",IFERROR(C14/100*VLOOKUP(B14,'Base alimentos'!$A$5:$H$20,3,FALSE),""))</f>
        <v/>
      </c>
      <c r="G14" s="27">
        <f>IF(OR(B14="",C14=""),"",IFERROR(C14/100*VLOOKUP(B14,'Base alimentos'!$A$5:$H$20,4,FALSE),""))</f>
        <v/>
      </c>
      <c r="H14" s="27">
        <f>IF(OR(B14="",C14=""),"",IFERROR(C14/100*VLOOKUP(B14,'Base alimentos'!$A$5:$H$20,5,FALSE),""))</f>
        <v/>
      </c>
      <c r="I14" s="27">
        <f>IF(OR(B14="",C14=""),"",IFERROR(C14/100*VLOOKUP(B14,'Base alimentos'!$A$5:$H$20,6,FALSE),""))</f>
        <v/>
      </c>
      <c r="J14" s="28" t="inlineStr"/>
    </row>
    <row r="15">
      <c r="A15" s="28" t="n"/>
      <c r="B15" s="24" t="inlineStr">
        <is>
          <t>Iogurte natural integral</t>
        </is>
      </c>
      <c r="C15" s="25" t="inlineStr"/>
      <c r="D15" s="26" t="inlineStr"/>
      <c r="E15" s="27">
        <f>IF(OR(B15="",C15=""),"",IFERROR(C15/100*VLOOKUP(B15,'Base alimentos'!$A$5:$H$20,2,FALSE),""))</f>
        <v/>
      </c>
      <c r="F15" s="27">
        <f>IF(OR(B15="",C15=""),"",IFERROR(C15/100*VLOOKUP(B15,'Base alimentos'!$A$5:$H$20,3,FALSE),""))</f>
        <v/>
      </c>
      <c r="G15" s="27">
        <f>IF(OR(B15="",C15=""),"",IFERROR(C15/100*VLOOKUP(B15,'Base alimentos'!$A$5:$H$20,4,FALSE),""))</f>
        <v/>
      </c>
      <c r="H15" s="27">
        <f>IF(OR(B15="",C15=""),"",IFERROR(C15/100*VLOOKUP(B15,'Base alimentos'!$A$5:$H$20,5,FALSE),""))</f>
        <v/>
      </c>
      <c r="I15" s="27">
        <f>IF(OR(B15="",C15=""),"",IFERROR(C15/100*VLOOKUP(B15,'Base alimentos'!$A$5:$H$20,6,FALSE),""))</f>
        <v/>
      </c>
      <c r="J15" s="28" t="inlineStr"/>
    </row>
    <row r="16">
      <c r="A16" s="51" t="inlineStr">
        <is>
          <t>LANCHE / PRÉ OU PÓS — subtotal</t>
        </is>
      </c>
      <c r="B16" s="52" t="n"/>
      <c r="C16" s="52" t="n"/>
      <c r="D16" s="53">
        <f>IF(Painel!$F$7="","",Painel!$F$7*0.2)</f>
        <v/>
      </c>
      <c r="E16" s="54">
        <f>SUM(E13:E15)</f>
        <v/>
      </c>
      <c r="F16" s="54">
        <f>SUM(F13:F15)</f>
        <v/>
      </c>
      <c r="G16" s="54">
        <f>SUM(G13:G15)</f>
        <v/>
      </c>
      <c r="H16" s="54">
        <f>SUM(H13:H15)</f>
        <v/>
      </c>
      <c r="I16" s="54">
        <f>SUM(I13:I15)</f>
        <v/>
      </c>
      <c r="J16" s="55" t="inlineStr">
        <is>
          <t>Meta kcal à esquerda; macros são o subtotal real da refeição.</t>
        </is>
      </c>
    </row>
    <row r="17">
      <c r="A17" s="31" t="inlineStr">
        <is>
          <t>Jantar</t>
        </is>
      </c>
      <c r="B17" s="24" t="inlineStr">
        <is>
          <t>Macarrão cozido</t>
        </is>
      </c>
      <c r="C17" s="25" t="inlineStr"/>
      <c r="D17" s="26" t="inlineStr"/>
      <c r="E17" s="27">
        <f>IF(OR(B17="",C17=""),"",IFERROR(C17/100*VLOOKUP(B17,'Base alimentos'!$A$5:$H$20,2,FALSE),""))</f>
        <v/>
      </c>
      <c r="F17" s="27">
        <f>IF(OR(B17="",C17=""),"",IFERROR(C17/100*VLOOKUP(B17,'Base alimentos'!$A$5:$H$20,3,FALSE),""))</f>
        <v/>
      </c>
      <c r="G17" s="27">
        <f>IF(OR(B17="",C17=""),"",IFERROR(C17/100*VLOOKUP(B17,'Base alimentos'!$A$5:$H$20,4,FALSE),""))</f>
        <v/>
      </c>
      <c r="H17" s="27">
        <f>IF(OR(B17="",C17=""),"",IFERROR(C17/100*VLOOKUP(B17,'Base alimentos'!$A$5:$H$20,5,FALSE),""))</f>
        <v/>
      </c>
      <c r="I17" s="27">
        <f>IF(OR(B17="",C17=""),"",IFERROR(C17/100*VLOOKUP(B17,'Base alimentos'!$A$5:$H$20,6,FALSE),""))</f>
        <v/>
      </c>
      <c r="J17" s="28" t="inlineStr"/>
    </row>
    <row r="18">
      <c r="A18" s="28" t="n"/>
      <c r="B18" s="24" t="inlineStr">
        <is>
          <t>Patinho bovino grelhado</t>
        </is>
      </c>
      <c r="C18" s="25" t="inlineStr"/>
      <c r="D18" s="26" t="inlineStr"/>
      <c r="E18" s="27">
        <f>IF(OR(B18="",C18=""),"",IFERROR(C18/100*VLOOKUP(B18,'Base alimentos'!$A$5:$H$20,2,FALSE),""))</f>
        <v/>
      </c>
      <c r="F18" s="27">
        <f>IF(OR(B18="",C18=""),"",IFERROR(C18/100*VLOOKUP(B18,'Base alimentos'!$A$5:$H$20,3,FALSE),""))</f>
        <v/>
      </c>
      <c r="G18" s="27">
        <f>IF(OR(B18="",C18=""),"",IFERROR(C18/100*VLOOKUP(B18,'Base alimentos'!$A$5:$H$20,4,FALSE),""))</f>
        <v/>
      </c>
      <c r="H18" s="27">
        <f>IF(OR(B18="",C18=""),"",IFERROR(C18/100*VLOOKUP(B18,'Base alimentos'!$A$5:$H$20,5,FALSE),""))</f>
        <v/>
      </c>
      <c r="I18" s="27">
        <f>IF(OR(B18="",C18=""),"",IFERROR(C18/100*VLOOKUP(B18,'Base alimentos'!$A$5:$H$20,6,FALSE),""))</f>
        <v/>
      </c>
      <c r="J18" s="28" t="inlineStr"/>
    </row>
    <row r="19">
      <c r="A19" s="28" t="n"/>
      <c r="B19" s="24" t="inlineStr"/>
      <c r="C19" s="25" t="inlineStr"/>
      <c r="D19" s="26" t="inlineStr"/>
      <c r="E19" s="27">
        <f>IF(OR(B19="",C19=""),"",IFERROR(C19/100*VLOOKUP(B19,'Base alimentos'!$A$5:$H$20,2,FALSE),""))</f>
        <v/>
      </c>
      <c r="F19" s="27">
        <f>IF(OR(B19="",C19=""),"",IFERROR(C19/100*VLOOKUP(B19,'Base alimentos'!$A$5:$H$20,3,FALSE),""))</f>
        <v/>
      </c>
      <c r="G19" s="27">
        <f>IF(OR(B19="",C19=""),"",IFERROR(C19/100*VLOOKUP(B19,'Base alimentos'!$A$5:$H$20,4,FALSE),""))</f>
        <v/>
      </c>
      <c r="H19" s="27">
        <f>IF(OR(B19="",C19=""),"",IFERROR(C19/100*VLOOKUP(B19,'Base alimentos'!$A$5:$H$20,5,FALSE),""))</f>
        <v/>
      </c>
      <c r="I19" s="27">
        <f>IF(OR(B19="",C19=""),"",IFERROR(C19/100*VLOOKUP(B19,'Base alimentos'!$A$5:$H$20,6,FALSE),""))</f>
        <v/>
      </c>
      <c r="J19" s="28" t="inlineStr"/>
    </row>
    <row r="20">
      <c r="A20" s="51" t="inlineStr">
        <is>
          <t>JANTAR — subtotal</t>
        </is>
      </c>
      <c r="B20" s="52" t="n"/>
      <c r="C20" s="52" t="n"/>
      <c r="D20" s="53">
        <f>IF(Painel!$F$7="","",Painel!$F$7*0.25)</f>
        <v/>
      </c>
      <c r="E20" s="54">
        <f>SUM(E17:E19)</f>
        <v/>
      </c>
      <c r="F20" s="54">
        <f>SUM(F17:F19)</f>
        <v/>
      </c>
      <c r="G20" s="54">
        <f>SUM(G17:G19)</f>
        <v/>
      </c>
      <c r="H20" s="54">
        <f>SUM(H17:H19)</f>
        <v/>
      </c>
      <c r="I20" s="54">
        <f>SUM(I17:I19)</f>
        <v/>
      </c>
      <c r="J20" s="55" t="inlineStr">
        <is>
          <t>Meta kcal à esquerda; macros são o subtotal real da refeição.</t>
        </is>
      </c>
    </row>
    <row r="21">
      <c r="A21" s="32" t="inlineStr">
        <is>
          <t>Ceia</t>
        </is>
      </c>
      <c r="B21" s="24" t="inlineStr">
        <is>
          <t>Iogurte natural integral</t>
        </is>
      </c>
      <c r="C21" s="25" t="inlineStr"/>
      <c r="D21" s="26" t="inlineStr"/>
      <c r="E21" s="27">
        <f>IF(OR(B21="",C21=""),"",IFERROR(C21/100*VLOOKUP(B21,'Base alimentos'!$A$5:$H$20,2,FALSE),""))</f>
        <v/>
      </c>
      <c r="F21" s="27">
        <f>IF(OR(B21="",C21=""),"",IFERROR(C21/100*VLOOKUP(B21,'Base alimentos'!$A$5:$H$20,3,FALSE),""))</f>
        <v/>
      </c>
      <c r="G21" s="27">
        <f>IF(OR(B21="",C21=""),"",IFERROR(C21/100*VLOOKUP(B21,'Base alimentos'!$A$5:$H$20,4,FALSE),""))</f>
        <v/>
      </c>
      <c r="H21" s="27">
        <f>IF(OR(B21="",C21=""),"",IFERROR(C21/100*VLOOKUP(B21,'Base alimentos'!$A$5:$H$20,5,FALSE),""))</f>
        <v/>
      </c>
      <c r="I21" s="27">
        <f>IF(OR(B21="",C21=""),"",IFERROR(C21/100*VLOOKUP(B21,'Base alimentos'!$A$5:$H$20,6,FALSE),""))</f>
        <v/>
      </c>
      <c r="J21" s="28" t="inlineStr"/>
    </row>
    <row r="22">
      <c r="A22" s="28" t="n"/>
      <c r="B22" s="24" t="inlineStr">
        <is>
          <t>Queijo muçarela</t>
        </is>
      </c>
      <c r="C22" s="25" t="inlineStr"/>
      <c r="D22" s="26" t="inlineStr"/>
      <c r="E22" s="27">
        <f>IF(OR(B22="",C22=""),"",IFERROR(C22/100*VLOOKUP(B22,'Base alimentos'!$A$5:$H$20,2,FALSE),""))</f>
        <v/>
      </c>
      <c r="F22" s="27">
        <f>IF(OR(B22="",C22=""),"",IFERROR(C22/100*VLOOKUP(B22,'Base alimentos'!$A$5:$H$20,3,FALSE),""))</f>
        <v/>
      </c>
      <c r="G22" s="27">
        <f>IF(OR(B22="",C22=""),"",IFERROR(C22/100*VLOOKUP(B22,'Base alimentos'!$A$5:$H$20,4,FALSE),""))</f>
        <v/>
      </c>
      <c r="H22" s="27">
        <f>IF(OR(B22="",C22=""),"",IFERROR(C22/100*VLOOKUP(B22,'Base alimentos'!$A$5:$H$20,5,FALSE),""))</f>
        <v/>
      </c>
      <c r="I22" s="27">
        <f>IF(OR(B22="",C22=""),"",IFERROR(C22/100*VLOOKUP(B22,'Base alimentos'!$A$5:$H$20,6,FALSE),""))</f>
        <v/>
      </c>
      <c r="J22" s="28" t="inlineStr"/>
    </row>
    <row r="23">
      <c r="A23" s="28" t="n"/>
      <c r="B23" s="24" t="inlineStr"/>
      <c r="C23" s="25" t="inlineStr"/>
      <c r="D23" s="26" t="inlineStr"/>
      <c r="E23" s="27">
        <f>IF(OR(B23="",C23=""),"",IFERROR(C23/100*VLOOKUP(B23,'Base alimentos'!$A$5:$H$20,2,FALSE),""))</f>
        <v/>
      </c>
      <c r="F23" s="27">
        <f>IF(OR(B23="",C23=""),"",IFERROR(C23/100*VLOOKUP(B23,'Base alimentos'!$A$5:$H$20,3,FALSE),""))</f>
        <v/>
      </c>
      <c r="G23" s="27">
        <f>IF(OR(B23="",C23=""),"",IFERROR(C23/100*VLOOKUP(B23,'Base alimentos'!$A$5:$H$20,4,FALSE),""))</f>
        <v/>
      </c>
      <c r="H23" s="27">
        <f>IF(OR(B23="",C23=""),"",IFERROR(C23/100*VLOOKUP(B23,'Base alimentos'!$A$5:$H$20,5,FALSE),""))</f>
        <v/>
      </c>
      <c r="I23" s="27">
        <f>IF(OR(B23="",C23=""),"",IFERROR(C23/100*VLOOKUP(B23,'Base alimentos'!$A$5:$H$20,6,FALSE),""))</f>
        <v/>
      </c>
      <c r="J23" s="28" t="inlineStr"/>
    </row>
    <row r="24">
      <c r="A24" s="51" t="inlineStr">
        <is>
          <t>CEIA — subtotal</t>
        </is>
      </c>
      <c r="B24" s="52" t="n"/>
      <c r="C24" s="52" t="n"/>
      <c r="D24" s="53">
        <f>IF(Painel!$F$7="","",Painel!$F$7*0.05)</f>
        <v/>
      </c>
      <c r="E24" s="54">
        <f>SUM(E21:E23)</f>
        <v/>
      </c>
      <c r="F24" s="54">
        <f>SUM(F21:F23)</f>
        <v/>
      </c>
      <c r="G24" s="54">
        <f>SUM(G21:G23)</f>
        <v/>
      </c>
      <c r="H24" s="54">
        <f>SUM(H21:H23)</f>
        <v/>
      </c>
      <c r="I24" s="54">
        <f>SUM(I21:I23)</f>
        <v/>
      </c>
      <c r="J24" s="55" t="inlineStr">
        <is>
          <t>Meta kcal à esquerda; macros são o subtotal real da refeição.</t>
        </is>
      </c>
    </row>
    <row r="26">
      <c r="A26" s="33" t="inlineStr">
        <is>
          <t>TOTAL DO DIA</t>
        </is>
      </c>
      <c r="E26" s="34">
        <f>E8+E12+E16+E20+E24</f>
        <v/>
      </c>
      <c r="F26" s="34">
        <f>F8+F12+F16+F20+F24</f>
        <v/>
      </c>
      <c r="G26" s="34">
        <f>G8+G12+G16+G20+G24</f>
        <v/>
      </c>
      <c r="H26" s="34">
        <f>H8+H12+H16+H20+H24</f>
        <v/>
      </c>
      <c r="I26" s="34">
        <f>I8+I12+I16+I20+I24</f>
        <v/>
      </c>
      <c r="J26" s="35" t="inlineStr">
        <is>
          <t>← compare com as metas abaixo</t>
        </is>
      </c>
    </row>
    <row r="28">
      <c r="A28" s="36" t="inlineStr">
        <is>
          <t>META DO PAINEL</t>
        </is>
      </c>
      <c r="E28" s="37">
        <f>Painel!F7</f>
        <v/>
      </c>
      <c r="F28" s="37">
        <f>Painel!F8</f>
        <v/>
      </c>
      <c r="G28" s="37">
        <f>Painel!F10</f>
        <v/>
      </c>
      <c r="H28" s="37">
        <f>Painel!F9</f>
        <v/>
      </c>
      <c r="I28" s="37">
        <f>Painel!F11</f>
        <v/>
      </c>
      <c r="J28" s="38" t="inlineStr">
        <is>
          <t>kcal / prot / carbo / gordura / fibra</t>
        </is>
      </c>
    </row>
    <row r="30">
      <c r="A30" s="39" t="inlineStr">
        <is>
          <t>DIFERENÇA</t>
        </is>
      </c>
      <c r="E30" s="40">
        <f>IF(OR(E26="",E28=""),"",E26-E28)</f>
        <v/>
      </c>
      <c r="F30" s="40">
        <f>IF(OR(F26="",F28=""),"",F26-F28)</f>
        <v/>
      </c>
      <c r="G30" s="40">
        <f>IF(OR(G26="",G28=""),"",G26-G28)</f>
        <v/>
      </c>
      <c r="H30" s="40">
        <f>IF(OR(H26="",H28=""),"",H26-H28)</f>
        <v/>
      </c>
      <c r="I30" s="40">
        <f>IF(OR(I26="",I28=""),"",I26-I28)</f>
        <v/>
      </c>
    </row>
    <row r="33" ht="44" customHeight="1">
      <c r="A33" s="13" t="inlineStr">
        <is>
          <t>Estratégia prática</t>
        </is>
      </c>
      <c r="C33" s="41" t="inlineStr">
        <is>
          <t>Bata primeiro proteína e calorias. Depois ajuste carboidratos/gorduras conforme preferência e desempenho no treino. Como você não usa frutas/verduras/legumes, use a meta de fibra como alerta e não trate “bater macros” como sinônimo de dieta micronutricionalmente completa.</t>
        </is>
      </c>
    </row>
  </sheetData>
  <mergeCells count="12">
    <mergeCell ref="A1:J1"/>
    <mergeCell ref="C33:J33"/>
    <mergeCell ref="A33:B33"/>
    <mergeCell ref="A26:D26"/>
    <mergeCell ref="A30:D30"/>
    <mergeCell ref="A8:C8"/>
    <mergeCell ref="A2:J2"/>
    <mergeCell ref="A12:C12"/>
    <mergeCell ref="A28:D28"/>
    <mergeCell ref="A20:C20"/>
    <mergeCell ref="A24:C24"/>
    <mergeCell ref="A16:C16"/>
  </mergeCells>
  <conditionalFormatting sqref="E30">
    <cfRule type="cellIs" priority="1" operator="between" dxfId="0">
      <formula>-0.05*E28</formula>
      <formula>0.05*E28</formula>
    </cfRule>
    <cfRule type="cellIs" priority="2" operator="lessThan" dxfId="1">
      <formula>-0.05*E28</formula>
    </cfRule>
    <cfRule type="cellIs" priority="3" operator="greaterThan" dxfId="1">
      <formula>0.05*E28</formula>
    </cfRule>
  </conditionalFormatting>
  <conditionalFormatting sqref="F30">
    <cfRule type="cellIs" priority="4" operator="greaterThanOrEqual" dxfId="0">
      <formula>0</formula>
    </cfRule>
    <cfRule type="cellIs" priority="5" operator="lessThan" dxfId="1">
      <formula>0</formula>
    </cfRule>
  </conditionalFormatting>
  <dataValidations count="1">
    <dataValidation sqref="B5 B6 B7 B9 B10 B11 B13 B14 B15 B17 B18 B19 B21 B22 B23" showDropDown="0" showInputMessage="0" showErrorMessage="0" allowBlank="1" type="list">
      <formula1>=FoodList</formula1>
    </dataValidation>
  </dataValidations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1" customWidth="1" min="3" max="3"/>
    <col width="25" customWidth="1" min="4" max="4"/>
    <col width="31" customWidth="1" min="5" max="5"/>
    <col width="55" customWidth="1" min="6" max="6"/>
    <col width="13" customWidth="1" min="7" max="7"/>
  </cols>
  <sheetData>
    <row r="1" ht="28" customHeight="1">
      <c r="A1" s="1" t="inlineStr">
        <is>
          <t>SUPLEMENTAÇÃO — O QUE JÁ FAZ SENTIDO NO SEU CASO</t>
        </is>
      </c>
    </row>
    <row r="2" ht="42" customHeight="1">
      <c r="A2" s="2" t="inlineStr">
        <is>
          <t>A planilha trata suplemento como complemento. Whey ajuda a fechar proteína; creatina é separada porque não substitui comida nem acrescenta proteína/calorias relevantes.</t>
        </is>
      </c>
    </row>
    <row r="4" ht="30" customHeight="1">
      <c r="A4" s="16" t="inlineStr">
        <is>
          <t>Item</t>
        </is>
      </c>
      <c r="B4" s="16" t="inlineStr">
        <is>
          <t>Como usar na planilha</t>
        </is>
      </c>
      <c r="C4" s="16" t="inlineStr">
        <is>
          <t>Faixa / regra prática</t>
        </is>
      </c>
      <c r="D4" s="16" t="inlineStr">
        <is>
          <t>Horário</t>
        </is>
      </c>
      <c r="E4" s="16" t="inlineStr">
        <is>
          <t>O que observar</t>
        </is>
      </c>
      <c r="F4" s="16" t="inlineStr">
        <is>
          <t>Fonte</t>
        </is>
      </c>
      <c r="G4" s="16" t="inlineStr">
        <is>
          <t>Status</t>
        </is>
      </c>
    </row>
    <row r="5" ht="68" customHeight="1">
      <c r="A5" s="17" t="inlineStr">
        <is>
          <t>Whey protein</t>
        </is>
      </c>
      <c r="B5" s="17" t="inlineStr">
        <is>
          <t>Cadastre os macros do SEU rótulo na Base alimentos e use no Plano diário.</t>
        </is>
      </c>
      <c r="C5" s="17" t="inlineStr">
        <is>
          <t>Quantidade necessária para completar a meta diária de proteína; não precisa “forçar” mais proteína quando a meta já foi atingida.</t>
        </is>
      </c>
      <c r="D5" s="17" t="inlineStr">
        <is>
          <t>Quando for mais conveniente</t>
        </is>
      </c>
      <c r="E5" s="17" t="inlineStr">
        <is>
          <t>Tolerância gastrointestinal e calorias do produto</t>
        </is>
      </c>
      <c r="F5" s="19" t="inlineStr">
        <is>
          <t>https://link.springer.com/article/10.1186/s12970-017-0177-8</t>
        </is>
      </c>
      <c r="G5" s="42" t="inlineStr">
        <is>
          <t>Em uso</t>
        </is>
      </c>
    </row>
    <row r="6" ht="68" customHeight="1">
      <c r="A6" s="17" t="inlineStr">
        <is>
          <t>Creatina monohidratada</t>
        </is>
      </c>
      <c r="B6" s="17" t="inlineStr">
        <is>
          <t>Não entra nos macros; registre apenas consistência.</t>
        </is>
      </c>
      <c r="C6" s="17" t="inlineStr">
        <is>
          <t>3–5 g/dia é uma estratégia sem fase de carga amplamente usada.</t>
        </is>
      </c>
      <c r="D6" s="17" t="inlineStr">
        <is>
          <t>Qualquer horário; constância &gt; timing</t>
        </is>
      </c>
      <c r="E6" s="17" t="inlineStr">
        <is>
          <t>Use diariamente; se houver orientação médica específica, siga-a.</t>
        </is>
      </c>
      <c r="F6" s="19" t="inlineStr">
        <is>
          <t>https://jissn.biomedcentral.com/counter/pdf/10.1186/s12970-021-00412-w.pdf</t>
        </is>
      </c>
      <c r="G6" s="42" t="inlineStr">
        <is>
          <t>Em uso</t>
        </is>
      </c>
    </row>
    <row r="9" ht="22" customHeight="1">
      <c r="A9" s="3" t="inlineStr">
        <is>
          <t>PONTO DE ATENÇÃO: DIETA SEM FRUTAS / VERDURAS / LEGUMES</t>
        </is>
      </c>
    </row>
    <row r="10">
      <c r="A10" s="43" t="inlineStr">
        <is>
          <t>É possível montar as calorias e os macros sem esses alimentos, mas isso não garante fibra, vitaminas e minerais adequados. A planilha acompanha fibra e prioriza opções como aveia e pão integral; ainda assim, micronutrientes não devem ser “corrigidos no escuro” com megadoses de suplementos. Se você pretende manter essa restrição por longo prazo, vale uma avaliação com nutricionista para checar adequação e estratégias compatíveis com o que você realmente consegue comer.</t>
        </is>
      </c>
    </row>
    <row r="11"/>
    <row r="12"/>
  </sheetData>
  <mergeCells count="4">
    <mergeCell ref="A2:G2"/>
    <mergeCell ref="A10:G12"/>
    <mergeCell ref="A1:G1"/>
    <mergeCell ref="A9:G9"/>
  </mergeCells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  <col width="11" customWidth="1" min="9" max="9"/>
    <col width="36" customWidth="1" min="10" max="10"/>
  </cols>
  <sheetData>
    <row r="1" ht="28" customHeight="1">
      <c r="A1" s="1" t="inlineStr">
        <is>
          <t>REGISTRO DIÁRIO — ADERÊNCIA E DESEMPENHO</t>
        </is>
      </c>
    </row>
    <row r="2" ht="42" customHeight="1">
      <c r="A2" s="2" t="inlineStr">
        <is>
          <t>Use uma linha por dia. O objetivo é enxergar tendências, não perseguir perfeição em uma única refeição.</t>
        </is>
      </c>
    </row>
    <row r="4" ht="30" customHeight="1">
      <c r="A4" s="16" t="inlineStr">
        <is>
          <t>Data</t>
        </is>
      </c>
      <c r="B4" s="16" t="inlineStr">
        <is>
          <t>Peso (kg)</t>
        </is>
      </c>
      <c r="C4" s="16" t="inlineStr">
        <is>
          <t>Cintura (cm)</t>
        </is>
      </c>
      <c r="D4" s="16" t="inlineStr">
        <is>
          <t>Calorias</t>
        </is>
      </c>
      <c r="E4" s="16" t="inlineStr">
        <is>
          <t>Proteína (g)</t>
        </is>
      </c>
      <c r="F4" s="16" t="inlineStr">
        <is>
          <t>Carbo (g)</t>
        </is>
      </c>
      <c r="G4" s="16" t="inlineStr">
        <is>
          <t>Gordura (g)</t>
        </is>
      </c>
      <c r="H4" s="16" t="inlineStr">
        <is>
          <t>Fibra (g)</t>
        </is>
      </c>
      <c r="I4" s="16" t="inlineStr">
        <is>
          <t>Treinou?</t>
        </is>
      </c>
      <c r="J4" s="16" t="inlineStr">
        <is>
          <t>Observação</t>
        </is>
      </c>
    </row>
    <row r="5">
      <c r="A5" s="44" t="n"/>
      <c r="B5" s="45" t="n"/>
      <c r="C5" s="45" t="n"/>
      <c r="D5" s="45" t="n"/>
      <c r="E5" s="45" t="n"/>
      <c r="F5" s="45" t="n"/>
      <c r="G5" s="45" t="n"/>
      <c r="H5" s="45" t="n"/>
      <c r="I5" s="46" t="n"/>
      <c r="J5" s="28" t="n"/>
    </row>
    <row r="6">
      <c r="A6" s="44" t="n"/>
      <c r="B6" s="45" t="n"/>
      <c r="C6" s="45" t="n"/>
      <c r="D6" s="45" t="n"/>
      <c r="E6" s="45" t="n"/>
      <c r="F6" s="45" t="n"/>
      <c r="G6" s="45" t="n"/>
      <c r="H6" s="45" t="n"/>
      <c r="I6" s="46" t="n"/>
      <c r="J6" s="28" t="n"/>
    </row>
    <row r="7">
      <c r="A7" s="44" t="n"/>
      <c r="B7" s="45" t="n"/>
      <c r="C7" s="45" t="n"/>
      <c r="D7" s="45" t="n"/>
      <c r="E7" s="45" t="n"/>
      <c r="F7" s="45" t="n"/>
      <c r="G7" s="45" t="n"/>
      <c r="H7" s="45" t="n"/>
      <c r="I7" s="46" t="n"/>
      <c r="J7" s="28" t="n"/>
    </row>
    <row r="8">
      <c r="A8" s="44" t="n"/>
      <c r="B8" s="45" t="n"/>
      <c r="C8" s="45" t="n"/>
      <c r="D8" s="45" t="n"/>
      <c r="E8" s="45" t="n"/>
      <c r="F8" s="45" t="n"/>
      <c r="G8" s="45" t="n"/>
      <c r="H8" s="45" t="n"/>
      <c r="I8" s="46" t="n"/>
      <c r="J8" s="28" t="n"/>
    </row>
    <row r="9">
      <c r="A9" s="44" t="n"/>
      <c r="B9" s="45" t="n"/>
      <c r="C9" s="45" t="n"/>
      <c r="D9" s="45" t="n"/>
      <c r="E9" s="45" t="n"/>
      <c r="F9" s="45" t="n"/>
      <c r="G9" s="45" t="n"/>
      <c r="H9" s="45" t="n"/>
      <c r="I9" s="46" t="n"/>
      <c r="J9" s="28" t="n"/>
    </row>
    <row r="10">
      <c r="A10" s="44" t="n"/>
      <c r="B10" s="45" t="n"/>
      <c r="C10" s="45" t="n"/>
      <c r="D10" s="45" t="n"/>
      <c r="E10" s="45" t="n"/>
      <c r="F10" s="45" t="n"/>
      <c r="G10" s="45" t="n"/>
      <c r="H10" s="45" t="n"/>
      <c r="I10" s="46" t="n"/>
      <c r="J10" s="28" t="n"/>
    </row>
    <row r="11">
      <c r="A11" s="44" t="n"/>
      <c r="B11" s="45" t="n"/>
      <c r="C11" s="45" t="n"/>
      <c r="D11" s="45" t="n"/>
      <c r="E11" s="45" t="n"/>
      <c r="F11" s="45" t="n"/>
      <c r="G11" s="45" t="n"/>
      <c r="H11" s="45" t="n"/>
      <c r="I11" s="46" t="n"/>
      <c r="J11" s="28" t="n"/>
    </row>
    <row r="12">
      <c r="A12" s="44" t="n"/>
      <c r="B12" s="45" t="n"/>
      <c r="C12" s="45" t="n"/>
      <c r="D12" s="45" t="n"/>
      <c r="E12" s="45" t="n"/>
      <c r="F12" s="45" t="n"/>
      <c r="G12" s="45" t="n"/>
      <c r="H12" s="45" t="n"/>
      <c r="I12" s="46" t="n"/>
      <c r="J12" s="28" t="n"/>
    </row>
    <row r="13">
      <c r="A13" s="44" t="n"/>
      <c r="B13" s="45" t="n"/>
      <c r="C13" s="45" t="n"/>
      <c r="D13" s="45" t="n"/>
      <c r="E13" s="45" t="n"/>
      <c r="F13" s="45" t="n"/>
      <c r="G13" s="45" t="n"/>
      <c r="H13" s="45" t="n"/>
      <c r="I13" s="46" t="n"/>
      <c r="J13" s="28" t="n"/>
    </row>
    <row r="14">
      <c r="A14" s="44" t="n"/>
      <c r="B14" s="45" t="n"/>
      <c r="C14" s="45" t="n"/>
      <c r="D14" s="45" t="n"/>
      <c r="E14" s="45" t="n"/>
      <c r="F14" s="45" t="n"/>
      <c r="G14" s="45" t="n"/>
      <c r="H14" s="45" t="n"/>
      <c r="I14" s="46" t="n"/>
      <c r="J14" s="28" t="n"/>
    </row>
    <row r="15">
      <c r="A15" s="44" t="n"/>
      <c r="B15" s="45" t="n"/>
      <c r="C15" s="45" t="n"/>
      <c r="D15" s="45" t="n"/>
      <c r="E15" s="45" t="n"/>
      <c r="F15" s="45" t="n"/>
      <c r="G15" s="45" t="n"/>
      <c r="H15" s="45" t="n"/>
      <c r="I15" s="46" t="n"/>
      <c r="J15" s="28" t="n"/>
    </row>
    <row r="16">
      <c r="A16" s="44" t="n"/>
      <c r="B16" s="45" t="n"/>
      <c r="C16" s="45" t="n"/>
      <c r="D16" s="45" t="n"/>
      <c r="E16" s="45" t="n"/>
      <c r="F16" s="45" t="n"/>
      <c r="G16" s="45" t="n"/>
      <c r="H16" s="45" t="n"/>
      <c r="I16" s="46" t="n"/>
      <c r="J16" s="28" t="n"/>
    </row>
    <row r="17">
      <c r="A17" s="44" t="n"/>
      <c r="B17" s="45" t="n"/>
      <c r="C17" s="45" t="n"/>
      <c r="D17" s="45" t="n"/>
      <c r="E17" s="45" t="n"/>
      <c r="F17" s="45" t="n"/>
      <c r="G17" s="45" t="n"/>
      <c r="H17" s="45" t="n"/>
      <c r="I17" s="46" t="n"/>
      <c r="J17" s="28" t="n"/>
    </row>
    <row r="18">
      <c r="A18" s="44" t="n"/>
      <c r="B18" s="45" t="n"/>
      <c r="C18" s="45" t="n"/>
      <c r="D18" s="45" t="n"/>
      <c r="E18" s="45" t="n"/>
      <c r="F18" s="45" t="n"/>
      <c r="G18" s="45" t="n"/>
      <c r="H18" s="45" t="n"/>
      <c r="I18" s="46" t="n"/>
      <c r="J18" s="28" t="n"/>
    </row>
    <row r="19">
      <c r="A19" s="44" t="n"/>
      <c r="B19" s="45" t="n"/>
      <c r="C19" s="45" t="n"/>
      <c r="D19" s="45" t="n"/>
      <c r="E19" s="45" t="n"/>
      <c r="F19" s="45" t="n"/>
      <c r="G19" s="45" t="n"/>
      <c r="H19" s="45" t="n"/>
      <c r="I19" s="46" t="n"/>
      <c r="J19" s="28" t="n"/>
    </row>
    <row r="20">
      <c r="A20" s="44" t="n"/>
      <c r="B20" s="45" t="n"/>
      <c r="C20" s="45" t="n"/>
      <c r="D20" s="45" t="n"/>
      <c r="E20" s="45" t="n"/>
      <c r="F20" s="45" t="n"/>
      <c r="G20" s="45" t="n"/>
      <c r="H20" s="45" t="n"/>
      <c r="I20" s="46" t="n"/>
      <c r="J20" s="28" t="n"/>
    </row>
    <row r="21">
      <c r="A21" s="44" t="n"/>
      <c r="B21" s="45" t="n"/>
      <c r="C21" s="45" t="n"/>
      <c r="D21" s="45" t="n"/>
      <c r="E21" s="45" t="n"/>
      <c r="F21" s="45" t="n"/>
      <c r="G21" s="45" t="n"/>
      <c r="H21" s="45" t="n"/>
      <c r="I21" s="46" t="n"/>
      <c r="J21" s="28" t="n"/>
    </row>
    <row r="22">
      <c r="A22" s="44" t="n"/>
      <c r="B22" s="45" t="n"/>
      <c r="C22" s="45" t="n"/>
      <c r="D22" s="45" t="n"/>
      <c r="E22" s="45" t="n"/>
      <c r="F22" s="45" t="n"/>
      <c r="G22" s="45" t="n"/>
      <c r="H22" s="45" t="n"/>
      <c r="I22" s="46" t="n"/>
      <c r="J22" s="28" t="n"/>
    </row>
    <row r="23">
      <c r="A23" s="44" t="n"/>
      <c r="B23" s="45" t="n"/>
      <c r="C23" s="45" t="n"/>
      <c r="D23" s="45" t="n"/>
      <c r="E23" s="45" t="n"/>
      <c r="F23" s="45" t="n"/>
      <c r="G23" s="45" t="n"/>
      <c r="H23" s="45" t="n"/>
      <c r="I23" s="46" t="n"/>
      <c r="J23" s="28" t="n"/>
    </row>
    <row r="24">
      <c r="A24" s="44" t="n"/>
      <c r="B24" s="45" t="n"/>
      <c r="C24" s="45" t="n"/>
      <c r="D24" s="45" t="n"/>
      <c r="E24" s="45" t="n"/>
      <c r="F24" s="45" t="n"/>
      <c r="G24" s="45" t="n"/>
      <c r="H24" s="45" t="n"/>
      <c r="I24" s="46" t="n"/>
      <c r="J24" s="28" t="n"/>
    </row>
    <row r="25">
      <c r="A25" s="44" t="n"/>
      <c r="B25" s="45" t="n"/>
      <c r="C25" s="45" t="n"/>
      <c r="D25" s="45" t="n"/>
      <c r="E25" s="45" t="n"/>
      <c r="F25" s="45" t="n"/>
      <c r="G25" s="45" t="n"/>
      <c r="H25" s="45" t="n"/>
      <c r="I25" s="46" t="n"/>
      <c r="J25" s="28" t="n"/>
    </row>
    <row r="26">
      <c r="A26" s="44" t="n"/>
      <c r="B26" s="45" t="n"/>
      <c r="C26" s="45" t="n"/>
      <c r="D26" s="45" t="n"/>
      <c r="E26" s="45" t="n"/>
      <c r="F26" s="45" t="n"/>
      <c r="G26" s="45" t="n"/>
      <c r="H26" s="45" t="n"/>
      <c r="I26" s="46" t="n"/>
      <c r="J26" s="28" t="n"/>
    </row>
    <row r="27">
      <c r="A27" s="44" t="n"/>
      <c r="B27" s="45" t="n"/>
      <c r="C27" s="45" t="n"/>
      <c r="D27" s="45" t="n"/>
      <c r="E27" s="45" t="n"/>
      <c r="F27" s="45" t="n"/>
      <c r="G27" s="45" t="n"/>
      <c r="H27" s="45" t="n"/>
      <c r="I27" s="46" t="n"/>
      <c r="J27" s="28" t="n"/>
    </row>
    <row r="28">
      <c r="A28" s="44" t="n"/>
      <c r="B28" s="45" t="n"/>
      <c r="C28" s="45" t="n"/>
      <c r="D28" s="45" t="n"/>
      <c r="E28" s="45" t="n"/>
      <c r="F28" s="45" t="n"/>
      <c r="G28" s="45" t="n"/>
      <c r="H28" s="45" t="n"/>
      <c r="I28" s="46" t="n"/>
      <c r="J28" s="28" t="n"/>
    </row>
    <row r="29">
      <c r="A29" s="44" t="n"/>
      <c r="B29" s="45" t="n"/>
      <c r="C29" s="45" t="n"/>
      <c r="D29" s="45" t="n"/>
      <c r="E29" s="45" t="n"/>
      <c r="F29" s="45" t="n"/>
      <c r="G29" s="45" t="n"/>
      <c r="H29" s="45" t="n"/>
      <c r="I29" s="46" t="n"/>
      <c r="J29" s="28" t="n"/>
    </row>
    <row r="30">
      <c r="A30" s="44" t="n"/>
      <c r="B30" s="45" t="n"/>
      <c r="C30" s="45" t="n"/>
      <c r="D30" s="45" t="n"/>
      <c r="E30" s="45" t="n"/>
      <c r="F30" s="45" t="n"/>
      <c r="G30" s="45" t="n"/>
      <c r="H30" s="45" t="n"/>
      <c r="I30" s="46" t="n"/>
      <c r="J30" s="28" t="n"/>
    </row>
    <row r="31">
      <c r="A31" s="44" t="n"/>
      <c r="B31" s="45" t="n"/>
      <c r="C31" s="45" t="n"/>
      <c r="D31" s="45" t="n"/>
      <c r="E31" s="45" t="n"/>
      <c r="F31" s="45" t="n"/>
      <c r="G31" s="45" t="n"/>
      <c r="H31" s="45" t="n"/>
      <c r="I31" s="46" t="n"/>
      <c r="J31" s="28" t="n"/>
    </row>
    <row r="32">
      <c r="A32" s="44" t="n"/>
      <c r="B32" s="45" t="n"/>
      <c r="C32" s="45" t="n"/>
      <c r="D32" s="45" t="n"/>
      <c r="E32" s="45" t="n"/>
      <c r="F32" s="45" t="n"/>
      <c r="G32" s="45" t="n"/>
      <c r="H32" s="45" t="n"/>
      <c r="I32" s="46" t="n"/>
      <c r="J32" s="28" t="n"/>
    </row>
    <row r="33">
      <c r="A33" s="44" t="n"/>
      <c r="B33" s="45" t="n"/>
      <c r="C33" s="45" t="n"/>
      <c r="D33" s="45" t="n"/>
      <c r="E33" s="45" t="n"/>
      <c r="F33" s="45" t="n"/>
      <c r="G33" s="45" t="n"/>
      <c r="H33" s="45" t="n"/>
      <c r="I33" s="46" t="n"/>
      <c r="J33" s="28" t="n"/>
    </row>
    <row r="34">
      <c r="A34" s="44" t="n"/>
      <c r="B34" s="45" t="n"/>
      <c r="C34" s="45" t="n"/>
      <c r="D34" s="45" t="n"/>
      <c r="E34" s="45" t="n"/>
      <c r="F34" s="45" t="n"/>
      <c r="G34" s="45" t="n"/>
      <c r="H34" s="45" t="n"/>
      <c r="I34" s="46" t="n"/>
      <c r="J34" s="28" t="n"/>
    </row>
    <row r="35">
      <c r="A35" s="44" t="n"/>
      <c r="B35" s="45" t="n"/>
      <c r="C35" s="45" t="n"/>
      <c r="D35" s="45" t="n"/>
      <c r="E35" s="45" t="n"/>
      <c r="F35" s="45" t="n"/>
      <c r="G35" s="45" t="n"/>
      <c r="H35" s="45" t="n"/>
      <c r="I35" s="46" t="n"/>
      <c r="J35" s="28" t="n"/>
    </row>
  </sheetData>
  <mergeCells count="2">
    <mergeCell ref="A1:J1"/>
    <mergeCell ref="A2:J2"/>
  </mergeCells>
  <dataValidations count="1">
    <dataValidation sqref="I5:I35" showDropDown="0" showInputMessage="0" showErrorMessage="0" allowBlank="1" type="list">
      <formula1>"Sim,Não"</formula1>
    </dataValidation>
  </dataValidations>
  <pageMargins left="0.25" right="0.25" top="0.4" bottom="0.4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  <col width="14" customWidth="1" min="5" max="5"/>
    <col width="17" customWidth="1" min="6" max="6"/>
    <col width="19" customWidth="1" min="7" max="7"/>
    <col width="36" customWidth="1" min="8" max="8"/>
  </cols>
  <sheetData>
    <row r="1" ht="28" customHeight="1">
      <c r="A1" s="1" t="inlineStr">
        <is>
          <t>PROGRESSO — 12 SEMANAS</t>
        </is>
      </c>
    </row>
    <row r="2" ht="42" customHeight="1">
      <c r="A2" s="2" t="inlineStr">
        <is>
          <t>A melhor leitura para “ganhar massa sem engordar” combina peso, cintura, desempenho no treino e aparência no espelho. Não tire conclusão por um único dia.</t>
        </is>
      </c>
    </row>
    <row r="4" ht="30" customHeight="1">
      <c r="A4" s="16" t="inlineStr">
        <is>
          <t>Semana</t>
        </is>
      </c>
      <c r="B4" s="16" t="inlineStr">
        <is>
          <t>Peso médio (kg)</t>
        </is>
      </c>
      <c r="C4" s="16" t="inlineStr">
        <is>
          <t>Cintura (cm)</t>
        </is>
      </c>
      <c r="D4" s="16" t="inlineStr">
        <is>
          <t>Δ peso (kg)</t>
        </is>
      </c>
      <c r="E4" s="16" t="inlineStr">
        <is>
          <t>Δ peso (%)</t>
        </is>
      </c>
      <c r="F4" s="16" t="inlineStr">
        <is>
          <t>Calorias médias</t>
        </is>
      </c>
      <c r="G4" s="16" t="inlineStr">
        <is>
          <t>Proteína média (g)</t>
        </is>
      </c>
      <c r="H4" s="16" t="inlineStr">
        <is>
          <t>Observação</t>
        </is>
      </c>
    </row>
    <row r="5">
      <c r="A5" s="42" t="inlineStr">
        <is>
          <t>Semana 1</t>
        </is>
      </c>
      <c r="B5" s="24" t="n"/>
      <c r="C5" s="24" t="n"/>
      <c r="D5" s="28" t="inlineStr"/>
      <c r="E5" s="28" t="inlineStr"/>
      <c r="F5" s="24" t="n"/>
      <c r="G5" s="24" t="n"/>
      <c r="H5" s="24" t="n"/>
    </row>
    <row r="6">
      <c r="A6" s="42" t="inlineStr">
        <is>
          <t>Semana 2</t>
        </is>
      </c>
      <c r="B6" s="24" t="n"/>
      <c r="C6" s="24" t="n"/>
      <c r="D6" s="47">
        <f>IF(OR(B6="",B5=""),"",B6-B5)</f>
        <v/>
      </c>
      <c r="E6" s="48">
        <f>IF(OR(B6="",B5=""),"",B6/B5-1)</f>
        <v/>
      </c>
      <c r="F6" s="24" t="n"/>
      <c r="G6" s="24" t="n"/>
      <c r="H6" s="24" t="n"/>
    </row>
    <row r="7">
      <c r="A7" s="42" t="inlineStr">
        <is>
          <t>Semana 3</t>
        </is>
      </c>
      <c r="B7" s="24" t="n"/>
      <c r="C7" s="24" t="n"/>
      <c r="D7" s="47">
        <f>IF(OR(B7="",B6=""),"",B7-B6)</f>
        <v/>
      </c>
      <c r="E7" s="48">
        <f>IF(OR(B7="",B6=""),"",B7/B6-1)</f>
        <v/>
      </c>
      <c r="F7" s="24" t="n"/>
      <c r="G7" s="24" t="n"/>
      <c r="H7" s="24" t="n"/>
    </row>
    <row r="8">
      <c r="A8" s="42" t="inlineStr">
        <is>
          <t>Semana 4</t>
        </is>
      </c>
      <c r="B8" s="24" t="n"/>
      <c r="C8" s="24" t="n"/>
      <c r="D8" s="47">
        <f>IF(OR(B8="",B7=""),"",B8-B7)</f>
        <v/>
      </c>
      <c r="E8" s="48">
        <f>IF(OR(B8="",B7=""),"",B8/B7-1)</f>
        <v/>
      </c>
      <c r="F8" s="24" t="n"/>
      <c r="G8" s="24" t="n"/>
      <c r="H8" s="24" t="n"/>
    </row>
    <row r="9">
      <c r="A9" s="42" t="inlineStr">
        <is>
          <t>Semana 5</t>
        </is>
      </c>
      <c r="B9" s="24" t="n"/>
      <c r="C9" s="24" t="n"/>
      <c r="D9" s="47">
        <f>IF(OR(B9="",B8=""),"",B9-B8)</f>
        <v/>
      </c>
      <c r="E9" s="48">
        <f>IF(OR(B9="",B8=""),"",B9/B8-1)</f>
        <v/>
      </c>
      <c r="F9" s="24" t="n"/>
      <c r="G9" s="24" t="n"/>
      <c r="H9" s="24" t="n"/>
    </row>
    <row r="10">
      <c r="A10" s="42" t="inlineStr">
        <is>
          <t>Semana 6</t>
        </is>
      </c>
      <c r="B10" s="24" t="n"/>
      <c r="C10" s="24" t="n"/>
      <c r="D10" s="47">
        <f>IF(OR(B10="",B9=""),"",B10-B9)</f>
        <v/>
      </c>
      <c r="E10" s="48">
        <f>IF(OR(B10="",B9=""),"",B10/B9-1)</f>
        <v/>
      </c>
      <c r="F10" s="24" t="n"/>
      <c r="G10" s="24" t="n"/>
      <c r="H10" s="24" t="n"/>
    </row>
    <row r="11">
      <c r="A11" s="42" t="inlineStr">
        <is>
          <t>Semana 7</t>
        </is>
      </c>
      <c r="B11" s="24" t="n"/>
      <c r="C11" s="24" t="n"/>
      <c r="D11" s="47">
        <f>IF(OR(B11="",B10=""),"",B11-B10)</f>
        <v/>
      </c>
      <c r="E11" s="48">
        <f>IF(OR(B11="",B10=""),"",B11/B10-1)</f>
        <v/>
      </c>
      <c r="F11" s="24" t="n"/>
      <c r="G11" s="24" t="n"/>
      <c r="H11" s="24" t="n"/>
    </row>
    <row r="12">
      <c r="A12" s="42" t="inlineStr">
        <is>
          <t>Semana 8</t>
        </is>
      </c>
      <c r="B12" s="24" t="n"/>
      <c r="C12" s="24" t="n"/>
      <c r="D12" s="47">
        <f>IF(OR(B12="",B11=""),"",B12-B11)</f>
        <v/>
      </c>
      <c r="E12" s="48">
        <f>IF(OR(B12="",B11=""),"",B12/B11-1)</f>
        <v/>
      </c>
      <c r="F12" s="24" t="n"/>
      <c r="G12" s="24" t="n"/>
      <c r="H12" s="24" t="n"/>
    </row>
    <row r="13">
      <c r="A13" s="42" t="inlineStr">
        <is>
          <t>Semana 9</t>
        </is>
      </c>
      <c r="B13" s="24" t="n"/>
      <c r="C13" s="24" t="n"/>
      <c r="D13" s="47">
        <f>IF(OR(B13="",B12=""),"",B13-B12)</f>
        <v/>
      </c>
      <c r="E13" s="48">
        <f>IF(OR(B13="",B12=""),"",B13/B12-1)</f>
        <v/>
      </c>
      <c r="F13" s="24" t="n"/>
      <c r="G13" s="24" t="n"/>
      <c r="H13" s="24" t="n"/>
    </row>
    <row r="14">
      <c r="A14" s="42" t="inlineStr">
        <is>
          <t>Semana 10</t>
        </is>
      </c>
      <c r="B14" s="24" t="n"/>
      <c r="C14" s="24" t="n"/>
      <c r="D14" s="47">
        <f>IF(OR(B14="",B13=""),"",B14-B13)</f>
        <v/>
      </c>
      <c r="E14" s="48">
        <f>IF(OR(B14="",B13=""),"",B14/B13-1)</f>
        <v/>
      </c>
      <c r="F14" s="24" t="n"/>
      <c r="G14" s="24" t="n"/>
      <c r="H14" s="24" t="n"/>
    </row>
    <row r="15">
      <c r="A15" s="42" t="inlineStr">
        <is>
          <t>Semana 11</t>
        </is>
      </c>
      <c r="B15" s="24" t="n"/>
      <c r="C15" s="24" t="n"/>
      <c r="D15" s="47">
        <f>IF(OR(B15="",B14=""),"",B15-B14)</f>
        <v/>
      </c>
      <c r="E15" s="48">
        <f>IF(OR(B15="",B14=""),"",B15/B14-1)</f>
        <v/>
      </c>
      <c r="F15" s="24" t="n"/>
      <c r="G15" s="24" t="n"/>
      <c r="H15" s="24" t="n"/>
    </row>
    <row r="16">
      <c r="A16" s="42" t="inlineStr">
        <is>
          <t>Semana 12</t>
        </is>
      </c>
      <c r="B16" s="24" t="n"/>
      <c r="C16" s="24" t="n"/>
      <c r="D16" s="47">
        <f>IF(OR(B16="",B15=""),"",B16-B15)</f>
        <v/>
      </c>
      <c r="E16" s="48">
        <f>IF(OR(B16="",B15=""),"",B16/B15-1)</f>
        <v/>
      </c>
      <c r="F16" s="24" t="n"/>
      <c r="G16" s="24" t="n"/>
      <c r="H16" s="24" t="n"/>
    </row>
    <row r="35" ht="44" customHeight="1">
      <c r="A35" s="49" t="inlineStr">
        <is>
          <t>Ajuste sugerido: se a cintura e o peso sobem rápido por 2 semanas, reduza ~100–150 kcal. Se peso, medidas e desempenho ficam completamente parados por 2–3 semanas, considere +100 kcal. Faça mudanças pequenas para conseguir identificar o que funcionou.</t>
        </is>
      </c>
    </row>
  </sheetData>
  <mergeCells count="3">
    <mergeCell ref="A35:H35"/>
    <mergeCell ref="A2:H2"/>
    <mergeCell ref="A1:H1"/>
  </mergeCells>
  <pageMargins left="0.25" right="0.25" top="0.4" bottom="0.4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COMO USAR A PLANILHA DE DIETA</t>
        </is>
      </c>
    </row>
    <row r="3" ht="34" customHeight="1">
      <c r="A3" s="13" t="inlineStr">
        <is>
          <t>1. Preencha o Painel</t>
        </is>
      </c>
      <c r="B3" s="41" t="inlineStr">
        <is>
          <t>Sexo, idade, altura, peso e fator de atividade. Se você já souber sua manutenção real por histórico de peso/calorias, use o campo “Manutenção manual”.</t>
        </is>
      </c>
    </row>
    <row r="4" ht="34" customHeight="1">
      <c r="A4" s="13" t="inlineStr">
        <is>
          <t>2. Escolha a estratégia</t>
        </is>
      </c>
      <c r="B4" s="41" t="inlineStr">
        <is>
          <t>Como você quer ganhar massa sem perder definição, comece entre manutenção e um superávit pequeno (0% a +5%). O controle real vem do acompanhamento semanal.</t>
        </is>
      </c>
    </row>
    <row r="5" ht="34" customHeight="1">
      <c r="A5" s="13" t="inlineStr">
        <is>
          <t>3. Monte o dia</t>
        </is>
      </c>
      <c r="B5" s="41" t="inlineStr">
        <is>
          <t>Na aba Plano diário, escolha os alimentos e digite as quantidades. A planilha calcula calorias, proteína, carboidratos, gorduras e fibra.</t>
        </is>
      </c>
    </row>
    <row r="6" ht="34" customHeight="1">
      <c r="A6" s="13" t="inlineStr">
        <is>
          <t>4. Priorize proteína</t>
        </is>
      </c>
      <c r="B6" s="41" t="inlineStr">
        <is>
          <t>A meta padrão está em 1,8 g/kg e pode ser ajustada. Referências esportivas costumam situar indivíduos ativos em aproximadamente 1,4–2,0 g/kg/dia.</t>
        </is>
      </c>
    </row>
    <row r="7" ht="34" customHeight="1">
      <c r="A7" s="13" t="inlineStr">
        <is>
          <t>5. Whey é ferramenta</t>
        </is>
      </c>
      <c r="B7" s="41" t="inlineStr">
        <is>
          <t>Use whey para completar a proteína do dia quando for prático. Edite a linha do whey com os dados do seu rótulo.</t>
        </is>
      </c>
    </row>
    <row r="8" ht="34" customHeight="1">
      <c r="A8" s="13" t="inlineStr">
        <is>
          <t>6. Creatina</t>
        </is>
      </c>
      <c r="B8" s="41" t="inlineStr">
        <is>
          <t>A aba de suplementação registra 3–5 g/dia como estratégia diária comum. Não há necessidade de tratá-la como “caloria” ou proteína.</t>
        </is>
      </c>
    </row>
    <row r="9" ht="45" customHeight="1">
      <c r="A9" s="13" t="inlineStr">
        <is>
          <t>7. Sem frutas/verduras/legumes</t>
        </is>
      </c>
      <c r="B9" s="41" t="inlineStr">
        <is>
          <t>A planilha respeita essa preferência, mas não esconde o problema: adequação de fibra e micronutrientes fica mais difícil. Aveia, integrais e outros alimentos compatíveis ajudam na fibra, mas não substituem automaticamente a variedade alimentar.</t>
        </is>
      </c>
    </row>
    <row r="10" ht="34" customHeight="1">
      <c r="A10" s="13" t="inlineStr">
        <is>
          <t>8. Ajuste por tendência</t>
        </is>
      </c>
      <c r="B10" s="41" t="inlineStr">
        <is>
          <t>Olhe 2–3 semanas, não 1 dia. Peso, cintura e evolução no treino juntos dizem mais do que a balança isolada.</t>
        </is>
      </c>
    </row>
    <row r="11" ht="45" customHeight="1">
      <c r="A11" s="13" t="inlineStr">
        <is>
          <t>9. Segurança</t>
        </is>
      </c>
      <c r="B11" s="41" t="inlineStr">
        <is>
          <t>Se você tiver alguma condição clínica, uso de medicação, sintomas gastrointestinais importantes ou recomendação médica específica, as metas precisam ser individualizadas com um profissional de saúde.</t>
        </is>
      </c>
    </row>
    <row r="14" ht="22" customHeight="1">
      <c r="A14" s="3" t="inlineStr">
        <is>
          <t>FONTES E REFERÊNCIAS</t>
        </is>
      </c>
    </row>
    <row r="15">
      <c r="A15" s="14" t="inlineStr">
        <is>
          <t>Tabela TACO / NEPA-Unicamp</t>
        </is>
      </c>
      <c r="B15" s="50" t="inlineStr">
        <is>
          <t>https://nepa.unicamp.br/tabela-brasileira-de-composicao-de-alimentos-4a-edicao/</t>
        </is>
      </c>
    </row>
    <row r="16">
      <c r="A16" s="14" t="inlineStr">
        <is>
          <t>ISSN — proteína e exercício</t>
        </is>
      </c>
      <c r="B16" s="50" t="inlineStr">
        <is>
          <t>https://link.springer.com/article/10.1186/s12970-017-0177-8</t>
        </is>
      </c>
    </row>
    <row r="17">
      <c r="A17" s="14" t="inlineStr">
        <is>
          <t>JISSN — creatina</t>
        </is>
      </c>
      <c r="B17" s="50" t="inlineStr">
        <is>
          <t>https://jissn.biomedcentral.com/counter/pdf/10.1186/s12970-021-00412-w.pdf</t>
        </is>
      </c>
    </row>
    <row r="18">
      <c r="A18" s="14" t="inlineStr">
        <is>
          <t>Fibra — referência de 14 g/1000 kcal</t>
        </is>
      </c>
      <c r="B18" s="50" t="inlineStr">
        <is>
          <t>https://www.ncbi.nlm.nih.gov/books/NBK208874/</t>
        </is>
      </c>
    </row>
  </sheetData>
  <mergeCells count="15">
    <mergeCell ref="B3:G3"/>
    <mergeCell ref="B16:G16"/>
    <mergeCell ref="A14:G14"/>
    <mergeCell ref="B10:G10"/>
    <mergeCell ref="A1:G1"/>
    <mergeCell ref="B5:G5"/>
    <mergeCell ref="B17:G17"/>
    <mergeCell ref="B9:G9"/>
    <mergeCell ref="B8:G8"/>
    <mergeCell ref="B4:G4"/>
    <mergeCell ref="B18:G18"/>
    <mergeCell ref="B15:G15"/>
    <mergeCell ref="B7:G7"/>
    <mergeCell ref="B11:G11"/>
    <mergeCell ref="B6:G6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2026-09-06T01:05:36Z</dcterms:created>
  <dcterms:modified xmlns:dcterms="http://purl.org/dc/terms/" xmlns:xsi="http://www.w3.org/2001/XMLSchema-instance" xsi:type="dcterms:W3CDTF">2026-09-06T01:06:20Z</dcterms:modified>
</cp:coreProperties>
</file>